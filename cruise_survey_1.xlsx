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en\Dropbox\Avenue Group\Avenue Group Ventures\Client Projects\The Conference Board\"/>
    </mc:Choice>
  </mc:AlternateContent>
  <xr:revisionPtr revIDLastSave="0" documentId="8_{6931D85A-0A3E-414F-9088-E2D389589CE5}" xr6:coauthVersionLast="47" xr6:coauthVersionMax="47" xr10:uidLastSave="{00000000-0000-0000-0000-000000000000}"/>
  <bookViews>
    <workbookView xWindow="1932" yWindow="1188" windowWidth="21108" windowHeight="12588" xr2:uid="{00000000-000D-0000-FFFF-FFFF00000000}"/>
  </bookViews>
  <sheets>
    <sheet name="Sheet1" sheetId="1" r:id="rId1"/>
    <sheet name="Titles" sheetId="3" r:id="rId2"/>
    <sheet name="Countries and regions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2" i="1"/>
  <c r="H1" i="1" l="1"/>
  <c r="L3" i="2"/>
  <c r="K3" i="2"/>
  <c r="J3" i="2"/>
</calcChain>
</file>

<file path=xl/sharedStrings.xml><?xml version="1.0" encoding="utf-8"?>
<sst xmlns="http://schemas.openxmlformats.org/spreadsheetml/2006/main" count="351" uniqueCount="156">
  <si>
    <t>Count</t>
  </si>
  <si>
    <t>Chief Executive Officer</t>
  </si>
  <si>
    <t>President</t>
  </si>
  <si>
    <t>Chief Financial Officer</t>
  </si>
  <si>
    <t>Chief Economist</t>
  </si>
  <si>
    <t>Chief Operating Officer</t>
  </si>
  <si>
    <t>Division/Group President</t>
  </si>
  <si>
    <t>Chief Procurement Officer</t>
  </si>
  <si>
    <t>Chief Communications Officer</t>
  </si>
  <si>
    <t>Chief Marketing Officer</t>
  </si>
  <si>
    <t>Chief Customer Officer</t>
  </si>
  <si>
    <t>Chief Product Officer</t>
  </si>
  <si>
    <t>Chief Digital Officer</t>
  </si>
  <si>
    <t>Chief Innovation Officer</t>
  </si>
  <si>
    <t>Chief Technology/Technical Officer</t>
  </si>
  <si>
    <t>Chief Human Resources Officer</t>
  </si>
  <si>
    <t>Chief Diversity, Equity, Inclusion Officer</t>
  </si>
  <si>
    <t>Chief Talent Officer</t>
  </si>
  <si>
    <t>Chief Learning Officer</t>
  </si>
  <si>
    <t>Chief Information Security Officer</t>
  </si>
  <si>
    <t>Chief Risk Officer</t>
  </si>
  <si>
    <t>Chief Strategy Officer</t>
  </si>
  <si>
    <t>Chief Sustainability Officer</t>
  </si>
  <si>
    <t>Chief Legal Officer/General Counsel</t>
  </si>
  <si>
    <t>Chief Supply Chain Officer</t>
  </si>
  <si>
    <t>Chief Governance Officer</t>
  </si>
  <si>
    <t>Head of Government Relations</t>
  </si>
  <si>
    <t>Head of Foundation</t>
  </si>
  <si>
    <t>Head of Corporate Social Responsibility</t>
  </si>
  <si>
    <t>Board Member</t>
  </si>
  <si>
    <t>Other</t>
  </si>
  <si>
    <t>Chairman</t>
  </si>
  <si>
    <t>Total</t>
  </si>
  <si>
    <t>United States</t>
  </si>
  <si>
    <t>Canada</t>
  </si>
  <si>
    <t>Mexico</t>
  </si>
  <si>
    <t>Argentina</t>
  </si>
  <si>
    <t>Brazil</t>
  </si>
  <si>
    <t>Chile</t>
  </si>
  <si>
    <t>Colombia</t>
  </si>
  <si>
    <t>Peru</t>
  </si>
  <si>
    <t>Venezuela</t>
  </si>
  <si>
    <t>Ecuador</t>
  </si>
  <si>
    <t>Dominican Republic</t>
  </si>
  <si>
    <t>Costa Rica</t>
  </si>
  <si>
    <t>United Kingdom</t>
  </si>
  <si>
    <t>Austria</t>
  </si>
  <si>
    <t>Belgium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</si>
  <si>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</si>
  <si>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</si>
  <si>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</si>
  <si>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</si>
  <si>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</si>
  <si>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</si>
  <si>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</si>
  <si>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</si>
  <si>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</si>
  <si>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</si>
  <si>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</si>
  <si>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</si>
  <si>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</si>
  <si>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</si>
  <si>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Spain</t>
  </si>
  <si>
    <t>Sweden</t>
  </si>
  <si>
    <t>Switzerland</t>
  </si>
  <si>
    <t>Turkey</t>
  </si>
  <si>
    <t>Bulgaria</t>
  </si>
  <si>
    <t>Serbia</t>
  </si>
  <si>
    <t>Georgia</t>
  </si>
  <si>
    <t>China</t>
  </si>
  <si>
    <t>Hong Kong</t>
  </si>
  <si>
    <t>India</t>
  </si>
  <si>
    <t>Indonesia</t>
  </si>
  <si>
    <t>Japan</t>
  </si>
  <si>
    <t>Malaysia</t>
  </si>
  <si>
    <t>Pakistan</t>
  </si>
  <si>
    <t>Philippines</t>
  </si>
  <si>
    <t>Singapore</t>
  </si>
  <si>
    <t>South Korea</t>
  </si>
  <si>
    <t>Sri Lanka</t>
  </si>
  <si>
    <t>Thailand</t>
  </si>
  <si>
    <t>Australia</t>
  </si>
  <si>
    <t>New Zealand</t>
  </si>
  <si>
    <t>Burma (Myanmar)</t>
  </si>
  <si>
    <t>Mali</t>
  </si>
  <si>
    <t>Egypt</t>
  </si>
  <si>
    <t>Nigeria</t>
  </si>
  <si>
    <t>Uganda</t>
  </si>
  <si>
    <t>Ethiopia</t>
  </si>
  <si>
    <t>Ghana</t>
  </si>
  <si>
    <t>Rwanda</t>
  </si>
  <si>
    <t>Tunisia</t>
  </si>
  <si>
    <t>United Arab Emirates</t>
  </si>
  <si>
    <t>Jordan</t>
  </si>
  <si>
    <t>Saudi Arabia</t>
  </si>
  <si>
    <t>Qatar</t>
  </si>
  <si>
    <t>Lebanon</t>
  </si>
  <si>
    <t>Trinidad &amp; Tobago</t>
  </si>
  <si>
    <t>CEO and Other C-Suite</t>
  </si>
  <si>
    <t>CEO</t>
  </si>
  <si>
    <t>Other C-Suite</t>
  </si>
  <si>
    <t>CEO, Board members and Other C-Suite</t>
  </si>
  <si>
    <t>Board members</t>
  </si>
  <si>
    <t>Revenues</t>
  </si>
  <si>
    <t>Less than $100 million</t>
  </si>
  <si>
    <t>$100 million to under $1 billion</t>
  </si>
  <si>
    <t>$1 billion and above</t>
  </si>
  <si>
    <t>Industry</t>
  </si>
  <si>
    <t>Natural resources and utilities</t>
  </si>
  <si>
    <t>Manufacturing (industrial)</t>
  </si>
  <si>
    <t>Manufacturing (consumer)</t>
  </si>
  <si>
    <t>Manufacturing (technology/computer)</t>
  </si>
  <si>
    <t>Construction</t>
  </si>
  <si>
    <t>Energy</t>
  </si>
  <si>
    <t>Transportation, warehousing and logistics</t>
  </si>
  <si>
    <t>Healthcare</t>
  </si>
  <si>
    <t>Financial services (including insurance)</t>
  </si>
  <si>
    <t>Software</t>
  </si>
  <si>
    <t>Comms and media</t>
  </si>
  <si>
    <t>Business and professional services</t>
  </si>
  <si>
    <t>Trade and consumer services</t>
  </si>
  <si>
    <t>Government/nonprofit/administration</t>
  </si>
  <si>
    <t>Title</t>
  </si>
  <si>
    <t>CFO</t>
  </si>
  <si>
    <t>COO</t>
  </si>
  <si>
    <t>CMO</t>
  </si>
  <si>
    <t>CHRO</t>
  </si>
  <si>
    <t>G&amp;S</t>
  </si>
  <si>
    <t>Tech</t>
  </si>
  <si>
    <t>CSO</t>
  </si>
  <si>
    <t>All the rest</t>
  </si>
  <si>
    <t>North America (Can, US, Mex)</t>
  </si>
  <si>
    <t>Europe</t>
  </si>
  <si>
    <t>Southern Cone (Chi+Arg)</t>
  </si>
  <si>
    <t>Rest of the World excluding Canada</t>
  </si>
  <si>
    <t>Region Whole Asia and countries</t>
  </si>
  <si>
    <t>US</t>
  </si>
  <si>
    <t>Rest</t>
  </si>
  <si>
    <t>Country</t>
  </si>
  <si>
    <t>Percent</t>
  </si>
  <si>
    <t>Region</t>
  </si>
  <si>
    <t>RoW excl. CAN</t>
  </si>
  <si>
    <t>Asia (excluding Japan)</t>
  </si>
  <si>
    <t>Asia (All)</t>
  </si>
  <si>
    <t>Asia (excluding-Japan)</t>
  </si>
  <si>
    <t>Asia (all)</t>
  </si>
  <si>
    <t>Entire sample</t>
  </si>
  <si>
    <t>El Salvador</t>
  </si>
  <si>
    <t>Southern Cone (CHI+ARG)</t>
  </si>
  <si>
    <t>Lichtenstein</t>
  </si>
  <si>
    <t>Bahamas</t>
  </si>
  <si>
    <t>COO + CSO</t>
  </si>
  <si>
    <t>NA</t>
  </si>
  <si>
    <t>EU</t>
  </si>
  <si>
    <t>ASIA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</si>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</sst>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%"/>
    <numFmt numFmtId="166" formatCode="###0.0"/>
    <numFmt numFmtId="167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264A6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6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20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/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/>
      <top/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2"/>
      </right>
      <top style="thin">
        <color indexed="63"/>
      </top>
      <bottom/>
      <diagonal/>
    </border>
    <border>
      <left style="thin">
        <color indexed="62"/>
      </left>
      <right style="thin">
        <color indexed="62"/>
      </right>
      <top style="thin">
        <color indexed="63"/>
      </top>
      <bottom/>
      <diagonal/>
    </border>
    <border>
      <left/>
      <right style="thin">
        <color indexed="62"/>
      </right>
      <top/>
      <bottom style="thin">
        <color indexed="63"/>
      </bottom>
      <diagonal/>
    </border>
    <border>
      <left style="thin">
        <color indexed="62"/>
      </left>
      <right style="thin">
        <color indexed="62"/>
      </right>
      <top/>
      <bottom style="thin">
        <color indexed="63"/>
      </bottom>
      <diagonal/>
    </border>
    <border>
      <left/>
      <right/>
      <top/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EAEAE"/>
      </bottom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/>
      <top/>
      <bottom style="thin">
        <color rgb="FFAEAEAE"/>
      </bottom>
      <diagonal/>
    </border>
    <border>
      <left style="thin">
        <color indexed="62"/>
      </left>
      <right/>
      <top/>
      <bottom/>
      <diagonal/>
    </border>
  </borders>
  <cellStyleXfs count="2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2" borderId="0"/>
    <xf numFmtId="9" fontId="1" fillId="0" borderId="0" applyFont="0" applyFill="0" applyBorder="0" applyAlignment="0" applyProtection="0"/>
    <xf numFmtId="0" fontId="5" fillId="2" borderId="0"/>
  </cellStyleXfs>
  <cellXfs count="183">
    <xf numFmtId="0" fontId="0" fillId="0" borderId="0" xfId="0"/>
    <xf numFmtId="0" fontId="5" fillId="2" borderId="0" xfId="17"/>
    <xf numFmtId="164" fontId="6" fillId="2" borderId="24" xfId="17" applyNumberFormat="1" applyFont="1" applyBorder="1" applyAlignment="1">
      <alignment horizontal="right" vertical="top"/>
    </xf>
    <xf numFmtId="0" fontId="7" fillId="0" borderId="0" xfId="17" applyFont="1" applyFill="1" applyAlignment="1">
      <alignment wrapText="1"/>
    </xf>
    <xf numFmtId="0" fontId="8" fillId="0" borderId="0" xfId="17" applyFont="1" applyFill="1" applyAlignment="1">
      <alignment wrapText="1"/>
    </xf>
    <xf numFmtId="0" fontId="7" fillId="2" borderId="20" xfId="17" applyFont="1" applyBorder="1" applyAlignment="1">
      <alignment horizontal="center" wrapText="1"/>
    </xf>
    <xf numFmtId="0" fontId="7" fillId="2" borderId="21" xfId="17" applyFont="1" applyBorder="1" applyAlignment="1">
      <alignment horizontal="center" wrapText="1"/>
    </xf>
    <xf numFmtId="0" fontId="7" fillId="0" borderId="22" xfId="17" applyFont="1" applyFill="1" applyBorder="1" applyAlignment="1">
      <alignment horizontal="left" vertical="top" wrapText="1"/>
    </xf>
    <xf numFmtId="0" fontId="8" fillId="0" borderId="22" xfId="17" applyFont="1" applyFill="1" applyBorder="1" applyAlignment="1">
      <alignment horizontal="left" vertical="top" wrapText="1"/>
    </xf>
    <xf numFmtId="164" fontId="8" fillId="2" borderId="23" xfId="17" applyNumberFormat="1" applyFont="1" applyBorder="1" applyAlignment="1">
      <alignment horizontal="right" vertical="top"/>
    </xf>
    <xf numFmtId="164" fontId="8" fillId="2" borderId="24" xfId="17" applyNumberFormat="1" applyFont="1" applyBorder="1" applyAlignment="1">
      <alignment horizontal="right" vertical="top"/>
    </xf>
    <xf numFmtId="164" fontId="8" fillId="2" borderId="21" xfId="17" applyNumberFormat="1" applyFont="1" applyBorder="1" applyAlignment="1">
      <alignment horizontal="right" vertical="top"/>
    </xf>
    <xf numFmtId="0" fontId="8" fillId="0" borderId="25" xfId="17" applyFont="1" applyFill="1" applyBorder="1" applyAlignment="1">
      <alignment horizontal="left" vertical="top" wrapText="1"/>
    </xf>
    <xf numFmtId="164" fontId="8" fillId="2" borderId="28" xfId="17" applyNumberFormat="1" applyFont="1" applyBorder="1" applyAlignment="1">
      <alignment horizontal="right" vertical="top"/>
    </xf>
    <xf numFmtId="164" fontId="8" fillId="2" borderId="29" xfId="17" applyNumberFormat="1" applyFont="1" applyBorder="1" applyAlignment="1">
      <alignment horizontal="right" vertical="top"/>
    </xf>
    <xf numFmtId="0" fontId="7" fillId="0" borderId="27" xfId="17" applyFont="1" applyFill="1" applyBorder="1" applyAlignment="1">
      <alignment horizontal="left" vertical="top" wrapText="1"/>
    </xf>
    <xf numFmtId="0" fontId="8" fillId="0" borderId="27" xfId="17" applyFont="1" applyFill="1" applyBorder="1" applyAlignment="1">
      <alignment horizontal="left" vertical="top" wrapText="1"/>
    </xf>
    <xf numFmtId="164" fontId="8" fillId="2" borderId="27" xfId="17" applyNumberFormat="1" applyFont="1" applyBorder="1" applyAlignment="1">
      <alignment horizontal="right" vertical="top"/>
    </xf>
    <xf numFmtId="164" fontId="8" fillId="2" borderId="0" xfId="17" applyNumberFormat="1" applyFont="1" applyAlignment="1">
      <alignment horizontal="right" vertical="top"/>
    </xf>
    <xf numFmtId="0" fontId="8" fillId="0" borderId="26" xfId="17" applyFont="1" applyFill="1" applyBorder="1" applyAlignment="1">
      <alignment horizontal="left" vertical="top" wrapText="1"/>
    </xf>
    <xf numFmtId="164" fontId="8" fillId="2" borderId="30" xfId="17" applyNumberFormat="1" applyFont="1" applyBorder="1" applyAlignment="1">
      <alignment horizontal="right" vertical="top"/>
    </xf>
    <xf numFmtId="164" fontId="8" fillId="2" borderId="31" xfId="17" applyNumberFormat="1" applyFont="1" applyBorder="1" applyAlignment="1">
      <alignment horizontal="right" vertical="top"/>
    </xf>
    <xf numFmtId="164" fontId="8" fillId="2" borderId="22" xfId="17" applyNumberFormat="1" applyFont="1" applyBorder="1" applyAlignment="1">
      <alignment horizontal="right" vertical="top"/>
    </xf>
    <xf numFmtId="0" fontId="9" fillId="0" borderId="0" xfId="0" applyFont="1"/>
    <xf numFmtId="0" fontId="10" fillId="0" borderId="0" xfId="0" applyFont="1"/>
    <xf numFmtId="0" fontId="5" fillId="2" borderId="0" xfId="19"/>
    <xf numFmtId="0" fontId="11" fillId="2" borderId="32" xfId="19" applyFont="1" applyBorder="1" applyAlignment="1">
      <alignment horizontal="left" wrapText="1"/>
    </xf>
    <xf numFmtId="0" fontId="12" fillId="2" borderId="33" xfId="17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2" borderId="34" xfId="17" applyFont="1" applyBorder="1" applyAlignment="1">
      <alignment horizontal="center" vertical="center" wrapText="1"/>
    </xf>
    <xf numFmtId="164" fontId="5" fillId="2" borderId="0" xfId="19" applyNumberFormat="1"/>
    <xf numFmtId="0" fontId="13" fillId="4" borderId="33" xfId="19" applyFont="1" applyFill="1" applyBorder="1" applyAlignment="1">
      <alignment horizontal="left" vertical="top" wrapText="1"/>
    </xf>
    <xf numFmtId="164" fontId="13" fillId="4" borderId="33" xfId="19" applyNumberFormat="1" applyFont="1" applyFill="1" applyBorder="1" applyAlignment="1">
      <alignment horizontal="right" vertical="top"/>
    </xf>
    <xf numFmtId="165" fontId="13" fillId="4" borderId="33" xfId="19" applyNumberFormat="1" applyFont="1" applyFill="1" applyBorder="1" applyAlignment="1">
      <alignment horizontal="right" vertical="top"/>
    </xf>
    <xf numFmtId="0" fontId="12" fillId="5" borderId="33" xfId="17" applyFont="1" applyFill="1" applyBorder="1" applyAlignment="1">
      <alignment horizontal="left" vertical="top" wrapText="1"/>
    </xf>
    <xf numFmtId="164" fontId="12" fillId="5" borderId="33" xfId="17" applyNumberFormat="1" applyFont="1" applyFill="1" applyBorder="1" applyAlignment="1">
      <alignment horizontal="right" vertical="top"/>
    </xf>
    <xf numFmtId="166" fontId="12" fillId="5" borderId="33" xfId="17" applyNumberFormat="1" applyFont="1" applyFill="1" applyBorder="1" applyAlignment="1">
      <alignment horizontal="right" vertical="top"/>
    </xf>
    <xf numFmtId="0" fontId="13" fillId="6" borderId="33" xfId="19" applyFont="1" applyFill="1" applyBorder="1" applyAlignment="1">
      <alignment horizontal="left" vertical="top" wrapText="1"/>
    </xf>
    <xf numFmtId="164" fontId="13" fillId="6" borderId="33" xfId="19" applyNumberFormat="1" applyFont="1" applyFill="1" applyBorder="1" applyAlignment="1">
      <alignment horizontal="right" vertical="top"/>
    </xf>
    <xf numFmtId="165" fontId="13" fillId="6" borderId="33" xfId="19" applyNumberFormat="1" applyFont="1" applyFill="1" applyBorder="1" applyAlignment="1">
      <alignment horizontal="right" vertical="top"/>
    </xf>
    <xf numFmtId="0" fontId="12" fillId="7" borderId="33" xfId="17" applyFont="1" applyFill="1" applyBorder="1" applyAlignment="1">
      <alignment horizontal="left" vertical="top" wrapText="1"/>
    </xf>
    <xf numFmtId="164" fontId="12" fillId="7" borderId="33" xfId="17" applyNumberFormat="1" applyFont="1" applyFill="1" applyBorder="1" applyAlignment="1">
      <alignment horizontal="right" vertical="top"/>
    </xf>
    <xf numFmtId="166" fontId="12" fillId="7" borderId="33" xfId="17" applyNumberFormat="1" applyFont="1" applyFill="1" applyBorder="1" applyAlignment="1">
      <alignment horizontal="right" vertical="top"/>
    </xf>
    <xf numFmtId="0" fontId="13" fillId="8" borderId="33" xfId="19" applyFont="1" applyFill="1" applyBorder="1" applyAlignment="1">
      <alignment horizontal="left" vertical="top" wrapText="1"/>
    </xf>
    <xf numFmtId="164" fontId="13" fillId="8" borderId="33" xfId="19" applyNumberFormat="1" applyFont="1" applyFill="1" applyBorder="1" applyAlignment="1">
      <alignment horizontal="right" vertical="top"/>
    </xf>
    <xf numFmtId="165" fontId="13" fillId="8" borderId="33" xfId="19" applyNumberFormat="1" applyFont="1" applyFill="1" applyBorder="1" applyAlignment="1">
      <alignment horizontal="right" vertical="top"/>
    </xf>
    <xf numFmtId="0" fontId="13" fillId="9" borderId="33" xfId="19" applyFont="1" applyFill="1" applyBorder="1" applyAlignment="1">
      <alignment horizontal="left" vertical="top" wrapText="1"/>
    </xf>
    <xf numFmtId="164" fontId="13" fillId="9" borderId="33" xfId="19" applyNumberFormat="1" applyFont="1" applyFill="1" applyBorder="1" applyAlignment="1">
      <alignment horizontal="right" vertical="top"/>
    </xf>
    <xf numFmtId="165" fontId="13" fillId="9" borderId="33" xfId="19" applyNumberFormat="1" applyFont="1" applyFill="1" applyBorder="1" applyAlignment="1">
      <alignment horizontal="right" vertical="top"/>
    </xf>
    <xf numFmtId="0" fontId="13" fillId="10" borderId="33" xfId="19" applyFont="1" applyFill="1" applyBorder="1" applyAlignment="1">
      <alignment horizontal="left" vertical="top" wrapText="1"/>
    </xf>
    <xf numFmtId="164" fontId="13" fillId="10" borderId="33" xfId="19" applyNumberFormat="1" applyFont="1" applyFill="1" applyBorder="1" applyAlignment="1">
      <alignment horizontal="right" vertical="top"/>
    </xf>
    <xf numFmtId="165" fontId="13" fillId="10" borderId="33" xfId="19" applyNumberFormat="1" applyFont="1" applyFill="1" applyBorder="1" applyAlignment="1">
      <alignment horizontal="right" vertical="top"/>
    </xf>
    <xf numFmtId="0" fontId="13" fillId="2" borderId="33" xfId="19" applyFont="1" applyBorder="1" applyAlignment="1">
      <alignment horizontal="left" vertical="top" wrapText="1"/>
    </xf>
    <xf numFmtId="164" fontId="13" fillId="2" borderId="33" xfId="19" applyNumberFormat="1" applyFont="1" applyBorder="1" applyAlignment="1">
      <alignment horizontal="right" vertical="top"/>
    </xf>
    <xf numFmtId="165" fontId="13" fillId="2" borderId="33" xfId="19" applyNumberFormat="1" applyFont="1" applyBorder="1" applyAlignment="1">
      <alignment horizontal="right" vertical="top"/>
    </xf>
    <xf numFmtId="0" fontId="13" fillId="2" borderId="35" xfId="19" applyFont="1" applyBorder="1" applyAlignment="1">
      <alignment horizontal="left" vertical="top" wrapText="1"/>
    </xf>
    <xf numFmtId="164" fontId="12" fillId="11" borderId="33" xfId="17" applyNumberFormat="1" applyFont="1" applyFill="1" applyBorder="1" applyAlignment="1">
      <alignment horizontal="right" vertical="top"/>
    </xf>
    <xf numFmtId="166" fontId="12" fillId="11" borderId="33" xfId="17" applyNumberFormat="1" applyFont="1" applyFill="1" applyBorder="1" applyAlignment="1">
      <alignment horizontal="right" vertical="top"/>
    </xf>
    <xf numFmtId="0" fontId="12" fillId="11" borderId="33" xfId="17" applyFont="1" applyFill="1" applyBorder="1" applyAlignment="1">
      <alignment horizontal="left" vertical="top" wrapText="1"/>
    </xf>
    <xf numFmtId="164" fontId="12" fillId="9" borderId="33" xfId="17" applyNumberFormat="1" applyFont="1" applyFill="1" applyBorder="1" applyAlignment="1">
      <alignment horizontal="right" vertical="top"/>
    </xf>
    <xf numFmtId="166" fontId="12" fillId="9" borderId="33" xfId="17" applyNumberFormat="1" applyFont="1" applyFill="1" applyBorder="1" applyAlignment="1">
      <alignment horizontal="right" vertical="top"/>
    </xf>
    <xf numFmtId="0" fontId="12" fillId="9" borderId="33" xfId="17" applyFont="1" applyFill="1" applyBorder="1" applyAlignment="1">
      <alignment horizontal="left" vertical="top" wrapText="1"/>
    </xf>
    <xf numFmtId="0" fontId="12" fillId="8" borderId="33" xfId="17" applyFont="1" applyFill="1" applyBorder="1" applyAlignment="1">
      <alignment horizontal="left" vertical="top" wrapText="1"/>
    </xf>
    <xf numFmtId="164" fontId="12" fillId="8" borderId="33" xfId="17" applyNumberFormat="1" applyFont="1" applyFill="1" applyBorder="1" applyAlignment="1">
      <alignment horizontal="right" vertical="top"/>
    </xf>
    <xf numFmtId="166" fontId="12" fillId="8" borderId="33" xfId="17" applyNumberFormat="1" applyFont="1" applyFill="1" applyBorder="1" applyAlignment="1">
      <alignment horizontal="right" vertical="top"/>
    </xf>
    <xf numFmtId="0" fontId="14" fillId="2" borderId="33" xfId="17" applyFont="1" applyBorder="1" applyAlignment="1">
      <alignment horizontal="left" vertical="top" wrapText="1"/>
    </xf>
    <xf numFmtId="164" fontId="14" fillId="2" borderId="33" xfId="17" applyNumberFormat="1" applyFont="1" applyBorder="1" applyAlignment="1">
      <alignment horizontal="right" vertical="top"/>
    </xf>
    <xf numFmtId="166" fontId="14" fillId="2" borderId="33" xfId="17" applyNumberFormat="1" applyFont="1" applyBorder="1" applyAlignment="1">
      <alignment horizontal="right" vertical="top"/>
    </xf>
    <xf numFmtId="0" fontId="12" fillId="6" borderId="33" xfId="17" applyFont="1" applyFill="1" applyBorder="1" applyAlignment="1">
      <alignment horizontal="left" vertical="top" wrapText="1"/>
    </xf>
    <xf numFmtId="164" fontId="12" fillId="6" borderId="33" xfId="17" applyNumberFormat="1" applyFont="1" applyFill="1" applyBorder="1" applyAlignment="1">
      <alignment horizontal="right" vertical="top"/>
    </xf>
    <xf numFmtId="166" fontId="12" fillId="6" borderId="33" xfId="17" applyNumberFormat="1" applyFont="1" applyFill="1" applyBorder="1" applyAlignment="1">
      <alignment horizontal="right" vertical="top"/>
    </xf>
    <xf numFmtId="0" fontId="13" fillId="5" borderId="33" xfId="19" applyFont="1" applyFill="1" applyBorder="1" applyAlignment="1">
      <alignment horizontal="left" vertical="top" wrapText="1"/>
    </xf>
    <xf numFmtId="164" fontId="13" fillId="5" borderId="33" xfId="19" applyNumberFormat="1" applyFont="1" applyFill="1" applyBorder="1" applyAlignment="1">
      <alignment horizontal="right" vertical="top"/>
    </xf>
    <xf numFmtId="165" fontId="13" fillId="5" borderId="33" xfId="19" applyNumberFormat="1" applyFont="1" applyFill="1" applyBorder="1" applyAlignment="1">
      <alignment horizontal="right" vertical="top"/>
    </xf>
    <xf numFmtId="0" fontId="13" fillId="2" borderId="0" xfId="19" applyFont="1" applyAlignment="1">
      <alignment horizontal="left" vertical="top" wrapText="1"/>
    </xf>
    <xf numFmtId="164" fontId="13" fillId="2" borderId="0" xfId="19" applyNumberFormat="1" applyFont="1" applyAlignment="1">
      <alignment horizontal="right" vertical="top"/>
    </xf>
    <xf numFmtId="165" fontId="13" fillId="2" borderId="0" xfId="19" applyNumberFormat="1" applyFont="1" applyAlignment="1">
      <alignment horizontal="right" vertical="top"/>
    </xf>
    <xf numFmtId="0" fontId="12" fillId="12" borderId="0" xfId="17" applyFont="1" applyFill="1" applyAlignment="1">
      <alignment horizontal="center" vertical="center" wrapText="1"/>
    </xf>
    <xf numFmtId="0" fontId="13" fillId="12" borderId="0" xfId="19" applyFont="1" applyFill="1" applyAlignment="1">
      <alignment horizontal="left" vertical="top" wrapText="1"/>
    </xf>
    <xf numFmtId="164" fontId="13" fillId="12" borderId="0" xfId="19" applyNumberFormat="1" applyFont="1" applyFill="1" applyAlignment="1">
      <alignment horizontal="right" vertical="top"/>
    </xf>
    <xf numFmtId="165" fontId="13" fillId="12" borderId="0" xfId="19" applyNumberFormat="1" applyFont="1" applyFill="1" applyAlignment="1">
      <alignment horizontal="right" vertical="top"/>
    </xf>
    <xf numFmtId="0" fontId="0" fillId="12" borderId="0" xfId="0" applyFill="1"/>
    <xf numFmtId="0" fontId="12" fillId="12" borderId="0" xfId="17" applyFont="1" applyFill="1" applyAlignment="1">
      <alignment horizontal="left" vertical="top" wrapText="1"/>
    </xf>
    <xf numFmtId="164" fontId="12" fillId="12" borderId="0" xfId="17" applyNumberFormat="1" applyFont="1" applyFill="1" applyAlignment="1">
      <alignment horizontal="right" vertical="top"/>
    </xf>
    <xf numFmtId="166" fontId="12" fillId="12" borderId="0" xfId="17" applyNumberFormat="1" applyFont="1" applyFill="1" applyAlignment="1">
      <alignment horizontal="right" vertical="top"/>
    </xf>
    <xf numFmtId="0" fontId="8" fillId="0" borderId="0" xfId="17" applyFont="1" applyFill="1" applyAlignment="1">
      <alignment horizontal="left" vertical="top" wrapText="1"/>
    </xf>
    <xf numFmtId="0" fontId="8" fillId="0" borderId="8" xfId="8" applyFont="1" applyBorder="1" applyAlignment="1">
      <alignment horizontal="left" vertical="top" wrapText="1"/>
    </xf>
    <xf numFmtId="164" fontId="8" fillId="0" borderId="13" xfId="13" applyNumberFormat="1" applyFont="1" applyBorder="1" applyAlignment="1">
      <alignment horizontal="right" vertical="top"/>
    </xf>
    <xf numFmtId="165" fontId="8" fillId="0" borderId="14" xfId="14" applyNumberFormat="1" applyFont="1" applyBorder="1" applyAlignment="1">
      <alignment horizontal="right" vertical="top"/>
    </xf>
    <xf numFmtId="0" fontId="8" fillId="3" borderId="0" xfId="17" applyFont="1" applyFill="1" applyAlignment="1">
      <alignment horizontal="left" vertical="top" wrapText="1"/>
    </xf>
    <xf numFmtId="167" fontId="8" fillId="3" borderId="0" xfId="18" applyNumberFormat="1" applyFont="1" applyFill="1" applyBorder="1" applyAlignment="1">
      <alignment horizontal="left" vertical="top" wrapText="1"/>
    </xf>
    <xf numFmtId="165" fontId="8" fillId="2" borderId="0" xfId="14" applyNumberFormat="1" applyFont="1" applyFill="1" applyAlignment="1">
      <alignment horizontal="right" vertical="top"/>
    </xf>
    <xf numFmtId="0" fontId="8" fillId="13" borderId="0" xfId="17" applyFont="1" applyFill="1" applyAlignment="1">
      <alignment horizontal="left" vertical="top" wrapText="1"/>
    </xf>
    <xf numFmtId="167" fontId="8" fillId="13" borderId="0" xfId="18" applyNumberFormat="1" applyFont="1" applyFill="1" applyBorder="1" applyAlignment="1">
      <alignment horizontal="left" vertical="top" wrapText="1"/>
    </xf>
    <xf numFmtId="0" fontId="8" fillId="14" borderId="0" xfId="17" applyFont="1" applyFill="1" applyAlignment="1">
      <alignment horizontal="left" vertical="top" wrapText="1"/>
    </xf>
    <xf numFmtId="167" fontId="8" fillId="14" borderId="0" xfId="18" applyNumberFormat="1" applyFont="1" applyFill="1" applyBorder="1" applyAlignment="1">
      <alignment horizontal="left" vertical="top" wrapText="1"/>
    </xf>
    <xf numFmtId="0" fontId="8" fillId="15" borderId="0" xfId="17" applyFont="1" applyFill="1" applyAlignment="1">
      <alignment horizontal="left" vertical="top" wrapText="1"/>
    </xf>
    <xf numFmtId="167" fontId="8" fillId="15" borderId="0" xfId="18" applyNumberFormat="1" applyFont="1" applyFill="1" applyBorder="1" applyAlignment="1">
      <alignment horizontal="left" vertical="top" wrapText="1"/>
    </xf>
    <xf numFmtId="0" fontId="8" fillId="16" borderId="0" xfId="17" applyFont="1" applyFill="1" applyAlignment="1">
      <alignment horizontal="left" vertical="top" wrapText="1"/>
    </xf>
    <xf numFmtId="167" fontId="8" fillId="16" borderId="0" xfId="18" applyNumberFormat="1" applyFont="1" applyFill="1" applyBorder="1" applyAlignment="1">
      <alignment horizontal="left" vertical="top" wrapText="1"/>
    </xf>
    <xf numFmtId="0" fontId="8" fillId="17" borderId="0" xfId="17" applyFont="1" applyFill="1" applyAlignment="1">
      <alignment horizontal="left" vertical="top" wrapText="1"/>
    </xf>
    <xf numFmtId="167" fontId="8" fillId="17" borderId="0" xfId="18" applyNumberFormat="1" applyFont="1" applyFill="1" applyBorder="1" applyAlignment="1">
      <alignment horizontal="left" vertical="top" wrapText="1"/>
    </xf>
    <xf numFmtId="0" fontId="8" fillId="18" borderId="0" xfId="17" applyFont="1" applyFill="1" applyAlignment="1">
      <alignment horizontal="left" vertical="top" wrapText="1"/>
    </xf>
    <xf numFmtId="167" fontId="8" fillId="18" borderId="0" xfId="18" applyNumberFormat="1" applyFont="1" applyFill="1" applyBorder="1" applyAlignment="1">
      <alignment horizontal="left" vertical="top" wrapText="1"/>
    </xf>
    <xf numFmtId="0" fontId="8" fillId="19" borderId="0" xfId="17" applyFont="1" applyFill="1" applyAlignment="1">
      <alignment horizontal="left" vertical="top" wrapText="1"/>
    </xf>
    <xf numFmtId="167" fontId="8" fillId="19" borderId="0" xfId="18" applyNumberFormat="1" applyFont="1" applyFill="1" applyBorder="1" applyAlignment="1">
      <alignment horizontal="left" vertical="top" wrapText="1"/>
    </xf>
    <xf numFmtId="167" fontId="8" fillId="0" borderId="0" xfId="18" applyNumberFormat="1" applyFont="1" applyFill="1" applyBorder="1" applyAlignment="1">
      <alignment horizontal="left" vertical="top" wrapText="1"/>
    </xf>
    <xf numFmtId="0" fontId="3" fillId="0" borderId="0" xfId="1" applyFont="1" applyAlignment="1">
      <alignment wrapText="1"/>
    </xf>
    <xf numFmtId="0" fontId="3" fillId="0" borderId="0" xfId="2" applyFont="1" applyAlignment="1">
      <alignment wrapText="1"/>
    </xf>
    <xf numFmtId="0" fontId="7" fillId="2" borderId="0" xfId="3" applyFont="1" applyFill="1" applyAlignment="1">
      <alignment horizontal="center" wrapText="1"/>
    </xf>
    <xf numFmtId="0" fontId="7" fillId="2" borderId="0" xfId="4" applyFont="1" applyFill="1" applyAlignment="1">
      <alignment horizontal="center" wrapText="1"/>
    </xf>
    <xf numFmtId="0" fontId="8" fillId="3" borderId="0" xfId="7" applyFont="1" applyFill="1" applyAlignment="1">
      <alignment horizontal="left" vertical="top" wrapText="1"/>
    </xf>
    <xf numFmtId="164" fontId="8" fillId="3" borderId="0" xfId="11" applyNumberFormat="1" applyFont="1" applyFill="1" applyAlignment="1">
      <alignment horizontal="right" vertical="top"/>
    </xf>
    <xf numFmtId="165" fontId="8" fillId="3" borderId="0" xfId="12" applyNumberFormat="1" applyFont="1" applyFill="1" applyAlignment="1">
      <alignment horizontal="right" vertical="top"/>
    </xf>
    <xf numFmtId="0" fontId="4" fillId="0" borderId="0" xfId="6" applyFont="1" applyAlignment="1">
      <alignment vertical="top" wrapText="1"/>
    </xf>
    <xf numFmtId="0" fontId="8" fillId="3" borderId="0" xfId="8" applyFont="1" applyFill="1" applyAlignment="1">
      <alignment horizontal="left" vertical="top" wrapText="1"/>
    </xf>
    <xf numFmtId="164" fontId="8" fillId="3" borderId="0" xfId="13" applyNumberFormat="1" applyFont="1" applyFill="1" applyAlignment="1">
      <alignment horizontal="right" vertical="top"/>
    </xf>
    <xf numFmtId="165" fontId="8" fillId="3" borderId="0" xfId="14" applyNumberFormat="1" applyFont="1" applyFill="1" applyAlignment="1">
      <alignment horizontal="right" vertical="top"/>
    </xf>
    <xf numFmtId="0" fontId="8" fillId="13" borderId="0" xfId="8" applyFont="1" applyFill="1" applyAlignment="1">
      <alignment horizontal="left" vertical="top" wrapText="1"/>
    </xf>
    <xf numFmtId="164" fontId="8" fillId="13" borderId="0" xfId="13" applyNumberFormat="1" applyFont="1" applyFill="1" applyAlignment="1">
      <alignment horizontal="right" vertical="top"/>
    </xf>
    <xf numFmtId="165" fontId="8" fillId="13" borderId="0" xfId="14" applyNumberFormat="1" applyFont="1" applyFill="1" applyAlignment="1">
      <alignment horizontal="right" vertical="top"/>
    </xf>
    <xf numFmtId="0" fontId="8" fillId="15" borderId="0" xfId="8" applyFont="1" applyFill="1" applyAlignment="1">
      <alignment horizontal="left" vertical="top" wrapText="1"/>
    </xf>
    <xf numFmtId="164" fontId="8" fillId="15" borderId="0" xfId="13" applyNumberFormat="1" applyFont="1" applyFill="1" applyAlignment="1">
      <alignment horizontal="right" vertical="top"/>
    </xf>
    <xf numFmtId="165" fontId="8" fillId="15" borderId="0" xfId="14" applyNumberFormat="1" applyFont="1" applyFill="1" applyAlignment="1">
      <alignment horizontal="right" vertical="top"/>
    </xf>
    <xf numFmtId="0" fontId="8" fillId="19" borderId="0" xfId="8" applyFont="1" applyFill="1" applyAlignment="1">
      <alignment horizontal="left" vertical="top" wrapText="1"/>
    </xf>
    <xf numFmtId="164" fontId="8" fillId="19" borderId="0" xfId="13" applyNumberFormat="1" applyFont="1" applyFill="1" applyAlignment="1">
      <alignment horizontal="right" vertical="top"/>
    </xf>
    <xf numFmtId="165" fontId="8" fillId="19" borderId="0" xfId="14" applyNumberFormat="1" applyFont="1" applyFill="1" applyAlignment="1">
      <alignment horizontal="right" vertical="top"/>
    </xf>
    <xf numFmtId="0" fontId="8" fillId="0" borderId="0" xfId="8" applyFont="1" applyAlignment="1">
      <alignment horizontal="left" vertical="top" wrapText="1"/>
    </xf>
    <xf numFmtId="164" fontId="8" fillId="2" borderId="0" xfId="13" applyNumberFormat="1" applyFont="1" applyFill="1" applyAlignment="1">
      <alignment horizontal="right" vertical="top"/>
    </xf>
    <xf numFmtId="0" fontId="8" fillId="16" borderId="0" xfId="8" applyFont="1" applyFill="1" applyAlignment="1">
      <alignment horizontal="left" vertical="top" wrapText="1"/>
    </xf>
    <xf numFmtId="164" fontId="8" fillId="16" borderId="0" xfId="13" applyNumberFormat="1" applyFont="1" applyFill="1" applyAlignment="1">
      <alignment horizontal="right" vertical="top"/>
    </xf>
    <xf numFmtId="165" fontId="8" fillId="16" borderId="0" xfId="14" applyNumberFormat="1" applyFont="1" applyFill="1" applyAlignment="1">
      <alignment horizontal="right" vertical="top"/>
    </xf>
    <xf numFmtId="0" fontId="8" fillId="14" borderId="0" xfId="8" applyFont="1" applyFill="1" applyAlignment="1">
      <alignment horizontal="left" vertical="top" wrapText="1"/>
    </xf>
    <xf numFmtId="164" fontId="8" fillId="14" borderId="0" xfId="13" applyNumberFormat="1" applyFont="1" applyFill="1" applyAlignment="1">
      <alignment horizontal="right" vertical="top"/>
    </xf>
    <xf numFmtId="165" fontId="8" fillId="14" borderId="0" xfId="14" applyNumberFormat="1" applyFont="1" applyFill="1" applyAlignment="1">
      <alignment horizontal="right" vertical="top"/>
    </xf>
    <xf numFmtId="0" fontId="8" fillId="17" borderId="0" xfId="8" applyFont="1" applyFill="1" applyAlignment="1">
      <alignment horizontal="left" vertical="top" wrapText="1"/>
    </xf>
    <xf numFmtId="164" fontId="8" fillId="17" borderId="0" xfId="13" applyNumberFormat="1" applyFont="1" applyFill="1" applyAlignment="1">
      <alignment horizontal="right" vertical="top"/>
    </xf>
    <xf numFmtId="165" fontId="8" fillId="17" borderId="0" xfId="14" applyNumberFormat="1" applyFont="1" applyFill="1" applyAlignment="1">
      <alignment horizontal="right" vertical="top"/>
    </xf>
    <xf numFmtId="0" fontId="8" fillId="18" borderId="0" xfId="8" applyFont="1" applyFill="1" applyAlignment="1">
      <alignment horizontal="left" vertical="top" wrapText="1"/>
    </xf>
    <xf numFmtId="164" fontId="8" fillId="18" borderId="0" xfId="13" applyNumberFormat="1" applyFont="1" applyFill="1" applyAlignment="1">
      <alignment horizontal="right" vertical="top"/>
    </xf>
    <xf numFmtId="165" fontId="8" fillId="18" borderId="0" xfId="14" applyNumberFormat="1" applyFont="1" applyFill="1" applyAlignment="1">
      <alignment horizontal="right" vertical="top"/>
    </xf>
    <xf numFmtId="0" fontId="3" fillId="0" borderId="0" xfId="6" applyFont="1" applyAlignment="1">
      <alignment horizontal="left" vertical="top" wrapText="1"/>
    </xf>
    <xf numFmtId="164" fontId="8" fillId="0" borderId="0" xfId="13" applyNumberFormat="1" applyFont="1" applyAlignment="1">
      <alignment horizontal="right" vertical="top"/>
    </xf>
    <xf numFmtId="165" fontId="8" fillId="0" borderId="0" xfId="14" applyNumberFormat="1" applyFont="1" applyAlignment="1">
      <alignment horizontal="right" vertical="top"/>
    </xf>
    <xf numFmtId="0" fontId="7" fillId="0" borderId="3" xfId="3" applyFont="1" applyBorder="1" applyAlignment="1">
      <alignment horizontal="center" wrapText="1"/>
    </xf>
    <xf numFmtId="0" fontId="7" fillId="0" borderId="4" xfId="4" applyFont="1" applyBorder="1" applyAlignment="1">
      <alignment horizontal="center" wrapText="1"/>
    </xf>
    <xf numFmtId="0" fontId="8" fillId="0" borderId="7" xfId="7" applyFont="1" applyBorder="1" applyAlignment="1">
      <alignment horizontal="left" vertical="top" wrapText="1"/>
    </xf>
    <xf numFmtId="164" fontId="8" fillId="0" borderId="11" xfId="11" applyNumberFormat="1" applyFont="1" applyBorder="1" applyAlignment="1">
      <alignment horizontal="right" vertical="top"/>
    </xf>
    <xf numFmtId="165" fontId="8" fillId="0" borderId="12" xfId="12" applyNumberFormat="1" applyFont="1" applyBorder="1" applyAlignment="1">
      <alignment horizontal="right" vertical="top"/>
    </xf>
    <xf numFmtId="0" fontId="3" fillId="0" borderId="8" xfId="6" applyFont="1" applyBorder="1" applyAlignment="1">
      <alignment horizontal="left" vertical="top" wrapText="1"/>
    </xf>
    <xf numFmtId="0" fontId="8" fillId="0" borderId="17" xfId="8" applyFont="1" applyBorder="1" applyAlignment="1">
      <alignment horizontal="left" vertical="top" wrapText="1"/>
    </xf>
    <xf numFmtId="164" fontId="8" fillId="0" borderId="18" xfId="13" applyNumberFormat="1" applyFont="1" applyBorder="1" applyAlignment="1">
      <alignment horizontal="right" vertical="top"/>
    </xf>
    <xf numFmtId="165" fontId="8" fillId="0" borderId="19" xfId="14" applyNumberFormat="1" applyFont="1" applyBorder="1" applyAlignment="1">
      <alignment horizontal="right" vertical="top"/>
    </xf>
    <xf numFmtId="0" fontId="8" fillId="0" borderId="36" xfId="8" applyFont="1" applyBorder="1" applyAlignment="1">
      <alignment horizontal="left" vertical="top" wrapText="1"/>
    </xf>
    <xf numFmtId="164" fontId="8" fillId="0" borderId="37" xfId="13" applyNumberFormat="1" applyFont="1" applyBorder="1" applyAlignment="1">
      <alignment horizontal="right" vertical="top"/>
    </xf>
    <xf numFmtId="165" fontId="8" fillId="0" borderId="38" xfId="14" applyNumberFormat="1" applyFont="1" applyBorder="1" applyAlignment="1">
      <alignment horizontal="right" vertical="top"/>
    </xf>
    <xf numFmtId="0" fontId="8" fillId="0" borderId="10" xfId="10" applyFont="1" applyBorder="1" applyAlignment="1">
      <alignment horizontal="left" vertical="top" wrapText="1"/>
    </xf>
    <xf numFmtId="164" fontId="8" fillId="0" borderId="15" xfId="15" applyNumberFormat="1" applyFont="1" applyBorder="1" applyAlignment="1">
      <alignment horizontal="right" vertical="top"/>
    </xf>
    <xf numFmtId="165" fontId="8" fillId="0" borderId="16" xfId="16" applyNumberFormat="1" applyFont="1" applyBorder="1" applyAlignment="1">
      <alignment horizontal="right" vertical="top"/>
    </xf>
    <xf numFmtId="0" fontId="3" fillId="0" borderId="17" xfId="6" applyFont="1" applyBorder="1" applyAlignment="1">
      <alignment horizontal="left" vertical="top" wrapText="1"/>
    </xf>
    <xf numFmtId="0" fontId="2" fillId="0" borderId="0" xfId="0" applyFont="1"/>
    <xf numFmtId="0" fontId="7" fillId="0" borderId="0" xfId="8" applyFont="1" applyAlignment="1">
      <alignment horizontal="left" vertical="top" wrapText="1"/>
    </xf>
    <xf numFmtId="164" fontId="7" fillId="2" borderId="0" xfId="13" applyNumberFormat="1" applyFont="1" applyFill="1" applyAlignment="1">
      <alignment horizontal="right" vertical="top"/>
    </xf>
    <xf numFmtId="165" fontId="7" fillId="2" borderId="0" xfId="14" applyNumberFormat="1" applyFont="1" applyFill="1" applyAlignment="1">
      <alignment horizontal="right" vertical="top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9" fontId="0" fillId="0" borderId="0" xfId="18" applyFont="1" applyAlignment="1">
      <alignment horizontal="center"/>
    </xf>
    <xf numFmtId="164" fontId="8" fillId="0" borderId="23" xfId="17" applyNumberFormat="1" applyFont="1" applyFill="1" applyBorder="1" applyAlignment="1">
      <alignment horizontal="right" vertical="top"/>
    </xf>
    <xf numFmtId="164" fontId="8" fillId="0" borderId="24" xfId="17" applyNumberFormat="1" applyFont="1" applyFill="1" applyBorder="1" applyAlignment="1">
      <alignment horizontal="right" vertical="top"/>
    </xf>
    <xf numFmtId="0" fontId="7" fillId="2" borderId="39" xfId="17" applyFont="1" applyBorder="1" applyAlignment="1">
      <alignment horizontal="center" wrapText="1"/>
    </xf>
    <xf numFmtId="9" fontId="0" fillId="0" borderId="0" xfId="18" applyFont="1"/>
    <xf numFmtId="0" fontId="7" fillId="0" borderId="26" xfId="17" applyFont="1" applyFill="1" applyBorder="1" applyAlignment="1">
      <alignment horizontal="left" vertical="top" wrapText="1"/>
    </xf>
    <xf numFmtId="0" fontId="7" fillId="0" borderId="22" xfId="17" applyFont="1" applyFill="1" applyBorder="1" applyAlignment="1">
      <alignment horizontal="left" vertical="top" wrapText="1"/>
    </xf>
    <xf numFmtId="0" fontId="7" fillId="0" borderId="25" xfId="17" applyFont="1" applyFill="1" applyBorder="1" applyAlignment="1">
      <alignment horizontal="left" vertical="top" wrapText="1"/>
    </xf>
    <xf numFmtId="0" fontId="7" fillId="0" borderId="0" xfId="17" applyFont="1" applyFill="1" applyAlignment="1">
      <alignment horizontal="left" vertical="top" wrapText="1"/>
    </xf>
    <xf numFmtId="0" fontId="4" fillId="0" borderId="6" xfId="6" applyFont="1" applyBorder="1" applyAlignment="1">
      <alignment horizontal="left" vertical="top" wrapText="1"/>
    </xf>
    <xf numFmtId="0" fontId="7" fillId="0" borderId="6" xfId="6" applyFont="1" applyBorder="1" applyAlignment="1">
      <alignment horizontal="left" vertical="top" wrapText="1"/>
    </xf>
    <xf numFmtId="0" fontId="7" fillId="0" borderId="9" xfId="9" applyFont="1" applyBorder="1" applyAlignment="1">
      <alignment horizontal="left" vertical="top" wrapText="1"/>
    </xf>
    <xf numFmtId="0" fontId="3" fillId="0" borderId="1" xfId="1" applyFont="1" applyBorder="1" applyAlignment="1">
      <alignment horizontal="left" wrapText="1"/>
    </xf>
    <xf numFmtId="0" fontId="3" fillId="0" borderId="2" xfId="2" applyFont="1" applyBorder="1" applyAlignment="1">
      <alignment horizontal="left" wrapText="1"/>
    </xf>
    <xf numFmtId="0" fontId="7" fillId="0" borderId="5" xfId="5" applyFont="1" applyBorder="1" applyAlignment="1">
      <alignment horizontal="left" vertical="top" wrapText="1"/>
    </xf>
    <xf numFmtId="0" fontId="7" fillId="0" borderId="0" xfId="5" applyFont="1" applyAlignment="1">
      <alignment horizontal="center" vertical="top" wrapText="1"/>
    </xf>
    <xf numFmtId="0" fontId="4" fillId="0" borderId="0" xfId="6" applyFont="1" applyAlignment="1">
      <alignment horizontal="center" vertical="top" wrapText="1"/>
    </xf>
  </cellXfs>
  <cellStyles count="20">
    <cellStyle name="Normal" xfId="0" builtinId="0"/>
    <cellStyle name="Normal_Regions_countries" xfId="19" xr:uid="{26919373-E0BE-42E8-8B87-D081DC56249E}"/>
    <cellStyle name="Normal_Sheet1" xfId="17" xr:uid="{002CA10E-38A5-40D4-BDA8-9E5F073D1BD0}"/>
    <cellStyle name="Percent" xfId="18" builtinId="5"/>
    <cellStyle name="style1764465577055" xfId="1" xr:uid="{00000000-0005-0000-0000-000001000000}"/>
    <cellStyle name="style1764465577360" xfId="2" xr:uid="{00000000-0005-0000-0000-000002000000}"/>
    <cellStyle name="style1764465577426" xfId="3" xr:uid="{00000000-0005-0000-0000-000003000000}"/>
    <cellStyle name="style1764465577488" xfId="4" xr:uid="{00000000-0005-0000-0000-000004000000}"/>
    <cellStyle name="style1764465577552" xfId="5" xr:uid="{00000000-0005-0000-0000-000005000000}"/>
    <cellStyle name="style1764465577680" xfId="6" xr:uid="{00000000-0005-0000-0000-000006000000}"/>
    <cellStyle name="style1764465577744" xfId="7" xr:uid="{00000000-0005-0000-0000-000007000000}"/>
    <cellStyle name="style1764465577857" xfId="8" xr:uid="{00000000-0005-0000-0000-000008000000}"/>
    <cellStyle name="style1764465577999" xfId="9" xr:uid="{00000000-0005-0000-0000-000009000000}"/>
    <cellStyle name="style1764465578073" xfId="10" xr:uid="{00000000-0005-0000-0000-00000A000000}"/>
    <cellStyle name="style1764465578127" xfId="11" xr:uid="{00000000-0005-0000-0000-00000B000000}"/>
    <cellStyle name="style1764465578190" xfId="12" xr:uid="{00000000-0005-0000-0000-00000C000000}"/>
    <cellStyle name="style1764465578239" xfId="13" xr:uid="{00000000-0005-0000-0000-00000D000000}"/>
    <cellStyle name="style1764465578416" xfId="14" xr:uid="{00000000-0005-0000-0000-00000E000000}"/>
    <cellStyle name="style1764465578495" xfId="15" xr:uid="{00000000-0005-0000-0000-00000F000000}"/>
    <cellStyle name="style1764465578914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0"/>
  <sheetViews>
    <sheetView tabSelected="1" topLeftCell="F1" zoomScale="85" zoomScaleNormal="85" workbookViewId="0">
      <selection activeCell="S6" sqref="S6"/>
    </sheetView>
  </sheetViews>
  <sheetFormatPr defaultRowHeight="16.5" customHeight="1" x14ac:dyDescent="0.3"/>
  <cols>
    <col min="1" max="1" width="14.109375" style="160" customWidth="1"/>
    <col min="2" max="2" width="33.33203125" style="24" bestFit="1" customWidth="1"/>
    <col min="3" max="3" width="5.44140625" style="24" bestFit="1" customWidth="1"/>
    <col min="4" max="4" width="8.44140625" style="24" customWidth="1"/>
    <col min="7" max="7" width="18.33203125" style="23" customWidth="1"/>
    <col min="8" max="8" width="33.33203125" style="24" bestFit="1" customWidth="1"/>
    <col min="9" max="9" width="13.6640625" style="24" customWidth="1"/>
    <col min="10" max="11" width="8.88671875" style="24"/>
    <col min="12" max="12" width="10.44140625" style="24" customWidth="1"/>
    <col min="13" max="13" width="10.88671875" style="24" customWidth="1"/>
    <col min="14" max="14" width="9.6640625" style="24" customWidth="1"/>
    <col min="15" max="15" width="4.33203125" style="24" customWidth="1"/>
    <col min="16" max="20" width="8.88671875" style="24"/>
  </cols>
  <sheetData>
    <row r="1" spans="1:24" ht="39.450000000000003" customHeight="1" x14ac:dyDescent="0.3">
      <c r="A1" s="178"/>
      <c r="B1" s="179"/>
      <c r="C1" s="144" t="s">
        <v>0</v>
      </c>
      <c r="D1" s="145" t="s">
        <v>139</v>
      </c>
      <c r="G1" s="3"/>
      <c r="H1" s="4">
        <f>214/SUM(I2:L2)</f>
        <v>0.32771822358346098</v>
      </c>
      <c r="I1" s="5" t="s">
        <v>131</v>
      </c>
      <c r="J1" s="6" t="s">
        <v>132</v>
      </c>
      <c r="K1" s="6" t="s">
        <v>73</v>
      </c>
      <c r="L1" s="6" t="s">
        <v>142</v>
      </c>
      <c r="M1" s="6" t="s">
        <v>133</v>
      </c>
      <c r="N1" s="6" t="s">
        <v>141</v>
      </c>
      <c r="O1" s="6"/>
      <c r="P1" s="6" t="s">
        <v>143</v>
      </c>
      <c r="Q1" s="6" t="s">
        <v>136</v>
      </c>
      <c r="R1" s="6" t="s">
        <v>34</v>
      </c>
      <c r="S1" s="6" t="s">
        <v>38</v>
      </c>
      <c r="T1" s="6" t="s">
        <v>36</v>
      </c>
      <c r="U1" s="1"/>
      <c r="V1" s="169" t="s">
        <v>136</v>
      </c>
      <c r="W1" s="169" t="s">
        <v>155</v>
      </c>
      <c r="X1" s="169" t="s">
        <v>132</v>
      </c>
    </row>
    <row r="2" spans="1:24" ht="16.5" customHeight="1" x14ac:dyDescent="0.3">
      <c r="A2" s="180" t="s">
        <v>122</v>
      </c>
      <c r="B2" s="146" t="s">
        <v>1</v>
      </c>
      <c r="C2" s="147">
        <v>497</v>
      </c>
      <c r="D2" s="148">
        <v>0.28695150115473439</v>
      </c>
      <c r="G2" s="172" t="s">
        <v>122</v>
      </c>
      <c r="H2" s="8" t="s">
        <v>99</v>
      </c>
      <c r="I2" s="167">
        <v>314</v>
      </c>
      <c r="J2" s="168">
        <v>125</v>
      </c>
      <c r="K2" s="168">
        <v>89</v>
      </c>
      <c r="L2" s="168">
        <v>125</v>
      </c>
      <c r="M2" s="10">
        <v>97</v>
      </c>
      <c r="N2" s="10">
        <v>21</v>
      </c>
      <c r="O2" s="11"/>
      <c r="P2" s="10">
        <v>214</v>
      </c>
      <c r="Q2" s="10">
        <v>247</v>
      </c>
      <c r="R2" s="10">
        <v>64</v>
      </c>
      <c r="S2" s="10">
        <v>53</v>
      </c>
      <c r="T2" s="10">
        <v>44</v>
      </c>
      <c r="U2" s="1"/>
      <c r="V2" s="170">
        <f>Q2/SUM(Q2,P2,J2)</f>
        <v>0.42150170648464164</v>
      </c>
      <c r="W2" s="170">
        <f>P2/SUM(P2:Q2,J2)</f>
        <v>0.3651877133105802</v>
      </c>
      <c r="X2" s="170">
        <f>J2/SUM(J2,P2:Q2)</f>
        <v>0.21331058020477817</v>
      </c>
    </row>
    <row r="3" spans="1:24" ht="16.5" customHeight="1" x14ac:dyDescent="0.3">
      <c r="A3" s="176"/>
      <c r="B3" s="86" t="s">
        <v>2</v>
      </c>
      <c r="C3" s="87">
        <v>214</v>
      </c>
      <c r="D3" s="88">
        <v>0.12355658198614319</v>
      </c>
      <c r="G3" s="172"/>
      <c r="H3" s="8" t="s">
        <v>123</v>
      </c>
      <c r="I3" s="9">
        <v>70</v>
      </c>
      <c r="J3" s="10">
        <v>37</v>
      </c>
      <c r="K3" s="10">
        <v>7</v>
      </c>
      <c r="L3" s="10">
        <v>30</v>
      </c>
      <c r="M3" s="10">
        <v>9</v>
      </c>
      <c r="N3" s="10">
        <v>3</v>
      </c>
      <c r="O3" s="11"/>
      <c r="P3" s="10">
        <v>37</v>
      </c>
      <c r="Q3" s="10">
        <v>58</v>
      </c>
      <c r="R3" s="10">
        <v>10</v>
      </c>
      <c r="S3" s="10">
        <v>7</v>
      </c>
      <c r="T3" s="10">
        <v>2</v>
      </c>
      <c r="U3" s="1"/>
    </row>
    <row r="4" spans="1:24" ht="16.5" customHeight="1" x14ac:dyDescent="0.3">
      <c r="A4" s="176"/>
      <c r="B4" s="86" t="s">
        <v>3</v>
      </c>
      <c r="C4" s="87">
        <v>156</v>
      </c>
      <c r="D4" s="88">
        <v>9.0069284064665134E-2</v>
      </c>
      <c r="G4" s="172"/>
      <c r="H4" s="8" t="s">
        <v>124</v>
      </c>
      <c r="I4" s="9">
        <v>19</v>
      </c>
      <c r="J4" s="10">
        <v>16</v>
      </c>
      <c r="K4" s="10">
        <v>5</v>
      </c>
      <c r="L4" s="10">
        <v>8</v>
      </c>
      <c r="M4" s="10">
        <v>12</v>
      </c>
      <c r="N4" s="10">
        <v>1</v>
      </c>
      <c r="O4" s="11"/>
      <c r="P4" s="10">
        <v>13</v>
      </c>
      <c r="Q4" s="10">
        <v>15</v>
      </c>
      <c r="R4" s="10">
        <v>4</v>
      </c>
      <c r="S4" s="10">
        <v>11</v>
      </c>
      <c r="T4" s="10">
        <v>1</v>
      </c>
      <c r="U4" s="1"/>
    </row>
    <row r="5" spans="1:24" ht="16.5" customHeight="1" x14ac:dyDescent="0.3">
      <c r="A5" s="176"/>
      <c r="B5" s="86" t="s">
        <v>4</v>
      </c>
      <c r="C5" s="87">
        <v>14</v>
      </c>
      <c r="D5" s="88">
        <v>8.0831408775981529E-3</v>
      </c>
      <c r="G5" s="172"/>
      <c r="H5" s="8" t="s">
        <v>125</v>
      </c>
      <c r="I5" s="9">
        <v>22</v>
      </c>
      <c r="J5" s="10">
        <v>19</v>
      </c>
      <c r="K5" s="10">
        <v>3</v>
      </c>
      <c r="L5" s="10">
        <v>18</v>
      </c>
      <c r="M5" s="10">
        <v>16</v>
      </c>
      <c r="N5" s="10">
        <v>2</v>
      </c>
      <c r="O5" s="11"/>
      <c r="P5" s="10">
        <v>21</v>
      </c>
      <c r="Q5" s="10">
        <v>16</v>
      </c>
      <c r="R5" s="10">
        <v>6</v>
      </c>
      <c r="S5" s="10">
        <v>11</v>
      </c>
      <c r="T5" s="10">
        <v>5</v>
      </c>
      <c r="U5" s="1"/>
    </row>
    <row r="6" spans="1:24" ht="16.5" customHeight="1" x14ac:dyDescent="0.3">
      <c r="A6" s="176"/>
      <c r="B6" s="86" t="s">
        <v>5</v>
      </c>
      <c r="C6" s="87">
        <v>61</v>
      </c>
      <c r="D6" s="88">
        <v>3.5219399538106239E-2</v>
      </c>
      <c r="G6" s="172"/>
      <c r="H6" s="8" t="s">
        <v>126</v>
      </c>
      <c r="I6" s="9">
        <v>79</v>
      </c>
      <c r="J6" s="10">
        <v>16</v>
      </c>
      <c r="K6" s="10">
        <v>6</v>
      </c>
      <c r="L6" s="10">
        <v>3</v>
      </c>
      <c r="M6" s="10">
        <v>3</v>
      </c>
      <c r="N6" s="10">
        <v>1</v>
      </c>
      <c r="O6" s="11"/>
      <c r="P6" s="10">
        <v>9</v>
      </c>
      <c r="Q6" s="10">
        <v>72</v>
      </c>
      <c r="R6" s="10">
        <v>7</v>
      </c>
      <c r="S6" s="10">
        <v>2</v>
      </c>
      <c r="T6" s="10">
        <v>1</v>
      </c>
      <c r="U6" s="1"/>
    </row>
    <row r="7" spans="1:24" ht="16.5" customHeight="1" x14ac:dyDescent="0.3">
      <c r="A7" s="176"/>
      <c r="B7" s="86" t="s">
        <v>6</v>
      </c>
      <c r="C7" s="87">
        <v>39</v>
      </c>
      <c r="D7" s="88">
        <v>2.2517321016166283E-2</v>
      </c>
      <c r="G7" s="172"/>
      <c r="H7" s="8" t="s">
        <v>127</v>
      </c>
      <c r="I7" s="9">
        <v>41</v>
      </c>
      <c r="J7" s="10">
        <v>27</v>
      </c>
      <c r="K7" s="10">
        <v>7</v>
      </c>
      <c r="L7" s="10">
        <v>10</v>
      </c>
      <c r="M7" s="10">
        <v>12</v>
      </c>
      <c r="N7" s="10">
        <v>2</v>
      </c>
      <c r="O7" s="11"/>
      <c r="P7" s="10">
        <v>17</v>
      </c>
      <c r="Q7" s="10">
        <v>38</v>
      </c>
      <c r="R7" s="10">
        <v>3</v>
      </c>
      <c r="S7" s="10">
        <v>7</v>
      </c>
      <c r="T7" s="10">
        <v>5</v>
      </c>
      <c r="U7" s="1"/>
    </row>
    <row r="8" spans="1:24" ht="16.5" customHeight="1" x14ac:dyDescent="0.3">
      <c r="A8" s="176"/>
      <c r="B8" s="86" t="s">
        <v>7</v>
      </c>
      <c r="C8" s="87">
        <v>15</v>
      </c>
      <c r="D8" s="88">
        <v>8.6605080831408769E-3</v>
      </c>
      <c r="G8" s="172"/>
      <c r="H8" s="8" t="s">
        <v>102</v>
      </c>
      <c r="I8" s="9">
        <v>117</v>
      </c>
      <c r="J8" s="10">
        <v>6</v>
      </c>
      <c r="K8" s="10">
        <v>49</v>
      </c>
      <c r="L8" s="10">
        <v>7</v>
      </c>
      <c r="M8" s="10">
        <v>15</v>
      </c>
      <c r="N8" s="10">
        <v>5</v>
      </c>
      <c r="O8" s="11"/>
      <c r="P8" s="10">
        <v>56</v>
      </c>
      <c r="Q8" s="10">
        <v>106</v>
      </c>
      <c r="R8" s="10">
        <v>10</v>
      </c>
      <c r="S8" s="10">
        <v>13</v>
      </c>
      <c r="T8" s="10">
        <v>2</v>
      </c>
      <c r="U8" s="1"/>
    </row>
    <row r="9" spans="1:24" ht="16.5" customHeight="1" x14ac:dyDescent="0.3">
      <c r="A9" s="176"/>
      <c r="B9" s="86" t="s">
        <v>8</v>
      </c>
      <c r="C9" s="87">
        <v>18</v>
      </c>
      <c r="D9" s="88">
        <v>1.0392609699769052E-2</v>
      </c>
      <c r="G9" s="172"/>
      <c r="H9" s="8" t="s">
        <v>128</v>
      </c>
      <c r="I9" s="9">
        <v>26</v>
      </c>
      <c r="J9" s="10">
        <v>48</v>
      </c>
      <c r="K9" s="10">
        <v>5</v>
      </c>
      <c r="L9" s="10">
        <v>43</v>
      </c>
      <c r="M9" s="10">
        <v>4</v>
      </c>
      <c r="N9" s="10">
        <v>4</v>
      </c>
      <c r="O9" s="11"/>
      <c r="P9" s="10">
        <v>48</v>
      </c>
      <c r="Q9" s="10">
        <v>23</v>
      </c>
      <c r="R9" s="10">
        <v>3</v>
      </c>
      <c r="S9" s="10">
        <v>2</v>
      </c>
      <c r="T9" s="10">
        <v>2</v>
      </c>
      <c r="U9" s="1"/>
    </row>
    <row r="10" spans="1:24" ht="16.5" customHeight="1" x14ac:dyDescent="0.3">
      <c r="A10" s="176"/>
      <c r="B10" s="86" t="s">
        <v>9</v>
      </c>
      <c r="C10" s="87">
        <v>46</v>
      </c>
      <c r="D10" s="88">
        <v>2.6558891454965358E-2</v>
      </c>
      <c r="G10" s="172"/>
      <c r="H10" s="8" t="s">
        <v>129</v>
      </c>
      <c r="I10" s="9">
        <v>13</v>
      </c>
      <c r="J10" s="10">
        <v>4</v>
      </c>
      <c r="K10" s="10">
        <v>5</v>
      </c>
      <c r="L10" s="10">
        <v>7</v>
      </c>
      <c r="M10" s="10">
        <v>2</v>
      </c>
      <c r="N10" s="10">
        <v>2</v>
      </c>
      <c r="O10" s="11"/>
      <c r="P10" s="10">
        <v>12</v>
      </c>
      <c r="Q10" s="10">
        <v>10</v>
      </c>
      <c r="R10" s="10">
        <v>2</v>
      </c>
      <c r="S10" s="10">
        <v>0</v>
      </c>
      <c r="T10" s="10">
        <v>2</v>
      </c>
      <c r="U10" s="1"/>
    </row>
    <row r="11" spans="1:24" ht="16.5" customHeight="1" x14ac:dyDescent="0.3">
      <c r="A11" s="176"/>
      <c r="B11" s="86" t="s">
        <v>10</v>
      </c>
      <c r="C11" s="87">
        <v>9</v>
      </c>
      <c r="D11" s="88">
        <v>5.1963048498845262E-3</v>
      </c>
      <c r="G11" s="172"/>
      <c r="H11" s="8" t="s">
        <v>130</v>
      </c>
      <c r="I11" s="9">
        <v>56</v>
      </c>
      <c r="J11" s="10">
        <v>18</v>
      </c>
      <c r="K11" s="10">
        <v>1</v>
      </c>
      <c r="L11" s="10">
        <v>12</v>
      </c>
      <c r="M11" s="10">
        <v>6</v>
      </c>
      <c r="N11" s="10">
        <v>2</v>
      </c>
      <c r="O11" s="11"/>
      <c r="P11" s="10">
        <v>13</v>
      </c>
      <c r="Q11" s="10">
        <v>52</v>
      </c>
      <c r="R11" s="10">
        <v>4</v>
      </c>
      <c r="S11" s="10">
        <v>2</v>
      </c>
      <c r="T11" s="10">
        <v>4</v>
      </c>
      <c r="U11" s="1"/>
    </row>
    <row r="12" spans="1:24" ht="16.5" customHeight="1" x14ac:dyDescent="0.3">
      <c r="A12" s="176"/>
      <c r="B12" s="86" t="s">
        <v>11</v>
      </c>
      <c r="C12" s="87">
        <v>7</v>
      </c>
      <c r="D12" s="88">
        <v>4.0415704387990765E-3</v>
      </c>
      <c r="G12" s="173"/>
      <c r="H12" s="12" t="s">
        <v>32</v>
      </c>
      <c r="I12" s="13">
        <v>757</v>
      </c>
      <c r="J12" s="14">
        <v>316</v>
      </c>
      <c r="K12" s="14">
        <v>177</v>
      </c>
      <c r="L12" s="14">
        <v>263</v>
      </c>
      <c r="M12" s="14">
        <v>176</v>
      </c>
      <c r="N12" s="14">
        <v>43</v>
      </c>
      <c r="O12" s="11"/>
      <c r="P12" s="14">
        <v>440</v>
      </c>
      <c r="Q12" s="14">
        <v>637</v>
      </c>
      <c r="R12" s="14">
        <v>113</v>
      </c>
      <c r="S12" s="14">
        <v>108</v>
      </c>
      <c r="T12" s="14">
        <v>68</v>
      </c>
      <c r="U12" s="1"/>
    </row>
    <row r="13" spans="1:24" ht="16.5" customHeight="1" x14ac:dyDescent="0.3">
      <c r="A13" s="176"/>
      <c r="B13" s="86" t="s">
        <v>12</v>
      </c>
      <c r="C13" s="87">
        <v>16</v>
      </c>
      <c r="D13" s="88">
        <v>9.2378752886836026E-3</v>
      </c>
      <c r="G13" s="15"/>
      <c r="H13" s="16"/>
      <c r="I13" s="17"/>
      <c r="J13" s="17"/>
      <c r="K13" s="17"/>
      <c r="L13" s="17"/>
      <c r="M13" s="17"/>
      <c r="N13" s="17"/>
      <c r="O13" s="18"/>
      <c r="P13" s="17"/>
      <c r="Q13" s="17"/>
      <c r="R13" s="17"/>
      <c r="S13" s="17"/>
      <c r="T13" s="17"/>
      <c r="U13" s="1"/>
    </row>
    <row r="14" spans="1:24" ht="16.5" customHeight="1" x14ac:dyDescent="0.3">
      <c r="A14" s="176"/>
      <c r="B14" s="86" t="s">
        <v>13</v>
      </c>
      <c r="C14" s="87">
        <v>17</v>
      </c>
      <c r="D14" s="88">
        <v>9.8152424942263283E-3</v>
      </c>
      <c r="G14" s="171" t="s">
        <v>98</v>
      </c>
      <c r="H14" s="19" t="s">
        <v>99</v>
      </c>
      <c r="I14" s="20">
        <v>314</v>
      </c>
      <c r="J14" s="21">
        <v>125</v>
      </c>
      <c r="K14" s="21">
        <v>89</v>
      </c>
      <c r="L14" s="21">
        <v>125</v>
      </c>
      <c r="M14" s="21">
        <v>97</v>
      </c>
      <c r="N14" s="21">
        <v>21</v>
      </c>
      <c r="O14" s="11"/>
      <c r="P14" s="21">
        <v>214</v>
      </c>
      <c r="Q14" s="21">
        <v>247</v>
      </c>
      <c r="R14" s="21">
        <v>64</v>
      </c>
      <c r="S14" s="21">
        <v>53</v>
      </c>
      <c r="T14" s="21">
        <v>44</v>
      </c>
      <c r="U14" s="1"/>
    </row>
    <row r="15" spans="1:24" ht="16.5" customHeight="1" x14ac:dyDescent="0.3">
      <c r="A15" s="176"/>
      <c r="B15" s="86" t="s">
        <v>14</v>
      </c>
      <c r="C15" s="87">
        <v>69</v>
      </c>
      <c r="D15" s="88">
        <v>3.9838337182448037E-2</v>
      </c>
      <c r="G15" s="172"/>
      <c r="H15" s="8" t="s">
        <v>100</v>
      </c>
      <c r="I15" s="9">
        <v>443</v>
      </c>
      <c r="J15" s="10">
        <v>191</v>
      </c>
      <c r="K15" s="10">
        <v>88</v>
      </c>
      <c r="L15" s="10">
        <v>138</v>
      </c>
      <c r="M15" s="10">
        <v>79</v>
      </c>
      <c r="N15" s="10">
        <v>22</v>
      </c>
      <c r="O15" s="11"/>
      <c r="P15" s="10">
        <v>226</v>
      </c>
      <c r="Q15" s="10">
        <v>390</v>
      </c>
      <c r="R15" s="10">
        <v>49</v>
      </c>
      <c r="S15" s="10">
        <v>55</v>
      </c>
      <c r="T15" s="10">
        <v>24</v>
      </c>
      <c r="U15" s="1"/>
    </row>
    <row r="16" spans="1:24" ht="16.5" customHeight="1" x14ac:dyDescent="0.3">
      <c r="A16" s="176"/>
      <c r="B16" s="86" t="s">
        <v>15</v>
      </c>
      <c r="C16" s="87">
        <v>85</v>
      </c>
      <c r="D16" s="88">
        <v>4.9076212471131642E-2</v>
      </c>
      <c r="G16" s="172"/>
      <c r="H16" s="8" t="s">
        <v>32</v>
      </c>
      <c r="I16" s="9">
        <v>757</v>
      </c>
      <c r="J16" s="10">
        <v>316</v>
      </c>
      <c r="K16" s="10">
        <v>177</v>
      </c>
      <c r="L16" s="10">
        <v>263</v>
      </c>
      <c r="M16" s="10">
        <v>176</v>
      </c>
      <c r="N16" s="10">
        <v>43</v>
      </c>
      <c r="O16" s="11"/>
      <c r="P16" s="10">
        <v>440</v>
      </c>
      <c r="Q16" s="10">
        <v>637</v>
      </c>
      <c r="R16" s="10">
        <v>113</v>
      </c>
      <c r="S16" s="10">
        <v>108</v>
      </c>
      <c r="T16" s="10">
        <v>68</v>
      </c>
      <c r="U16" s="1"/>
    </row>
    <row r="17" spans="1:21" ht="16.5" customHeight="1" x14ac:dyDescent="0.3">
      <c r="A17" s="176"/>
      <c r="B17" s="86" t="s">
        <v>16</v>
      </c>
      <c r="C17" s="87">
        <v>12</v>
      </c>
      <c r="D17" s="88">
        <v>6.9284064665127024E-3</v>
      </c>
      <c r="G17" s="7"/>
      <c r="H17" s="8"/>
      <c r="I17" s="22"/>
      <c r="J17" s="22"/>
      <c r="K17" s="22"/>
      <c r="L17" s="22"/>
      <c r="M17" s="22"/>
      <c r="N17" s="22"/>
      <c r="O17" s="18"/>
      <c r="P17" s="22"/>
      <c r="Q17" s="22"/>
      <c r="R17" s="22"/>
      <c r="S17" s="22"/>
      <c r="T17" s="22"/>
      <c r="U17" s="1"/>
    </row>
    <row r="18" spans="1:21" ht="16.5" customHeight="1" x14ac:dyDescent="0.3">
      <c r="A18" s="176"/>
      <c r="B18" s="86" t="s">
        <v>17</v>
      </c>
      <c r="C18" s="87">
        <v>6</v>
      </c>
      <c r="D18" s="88">
        <v>3.4642032332563512E-3</v>
      </c>
      <c r="G18" s="172" t="s">
        <v>101</v>
      </c>
      <c r="H18" s="8" t="s">
        <v>99</v>
      </c>
      <c r="I18" s="9">
        <v>314</v>
      </c>
      <c r="J18" s="10">
        <v>125</v>
      </c>
      <c r="K18" s="10">
        <v>89</v>
      </c>
      <c r="L18" s="10">
        <v>125</v>
      </c>
      <c r="M18" s="10">
        <v>97</v>
      </c>
      <c r="N18" s="10">
        <v>21</v>
      </c>
      <c r="O18" s="11"/>
      <c r="P18" s="10">
        <v>214</v>
      </c>
      <c r="Q18" s="10">
        <v>247</v>
      </c>
      <c r="R18" s="10">
        <v>64</v>
      </c>
      <c r="S18" s="10">
        <v>53</v>
      </c>
      <c r="T18" s="10">
        <v>44</v>
      </c>
      <c r="U18" s="1"/>
    </row>
    <row r="19" spans="1:21" ht="16.5" customHeight="1" x14ac:dyDescent="0.3">
      <c r="A19" s="176"/>
      <c r="B19" s="86" t="s">
        <v>18</v>
      </c>
      <c r="C19" s="87">
        <v>5</v>
      </c>
      <c r="D19" s="88">
        <v>2.8868360277136255E-3</v>
      </c>
      <c r="G19" s="172"/>
      <c r="H19" s="8" t="s">
        <v>100</v>
      </c>
      <c r="I19" s="9">
        <v>326</v>
      </c>
      <c r="J19" s="10">
        <v>185</v>
      </c>
      <c r="K19" s="10">
        <v>39</v>
      </c>
      <c r="L19" s="10">
        <v>131</v>
      </c>
      <c r="M19" s="10">
        <v>64</v>
      </c>
      <c r="N19" s="10">
        <v>17</v>
      </c>
      <c r="O19" s="11"/>
      <c r="P19" s="10">
        <v>170</v>
      </c>
      <c r="Q19" s="10">
        <v>284</v>
      </c>
      <c r="R19" s="10">
        <v>39</v>
      </c>
      <c r="S19" s="10">
        <v>42</v>
      </c>
      <c r="T19" s="10">
        <v>22</v>
      </c>
      <c r="U19" s="1"/>
    </row>
    <row r="20" spans="1:21" ht="16.5" customHeight="1" x14ac:dyDescent="0.3">
      <c r="A20" s="176"/>
      <c r="B20" s="86" t="s">
        <v>19</v>
      </c>
      <c r="C20" s="87">
        <v>28</v>
      </c>
      <c r="D20" s="88">
        <v>1.6166281755196306E-2</v>
      </c>
      <c r="G20" s="172"/>
      <c r="H20" s="8" t="s">
        <v>102</v>
      </c>
      <c r="I20" s="9">
        <v>117</v>
      </c>
      <c r="J20" s="10">
        <v>6</v>
      </c>
      <c r="K20" s="10">
        <v>49</v>
      </c>
      <c r="L20" s="10">
        <v>7</v>
      </c>
      <c r="M20" s="10">
        <v>15</v>
      </c>
      <c r="N20" s="10">
        <v>5</v>
      </c>
      <c r="O20" s="11"/>
      <c r="P20" s="10">
        <v>56</v>
      </c>
      <c r="Q20" s="10">
        <v>106</v>
      </c>
      <c r="R20" s="10">
        <v>10</v>
      </c>
      <c r="S20" s="10">
        <v>13</v>
      </c>
      <c r="T20" s="10">
        <v>2</v>
      </c>
      <c r="U20" s="1"/>
    </row>
    <row r="21" spans="1:21" ht="16.5" customHeight="1" x14ac:dyDescent="0.3">
      <c r="A21" s="176"/>
      <c r="B21" s="86" t="s">
        <v>20</v>
      </c>
      <c r="C21" s="87">
        <v>18</v>
      </c>
      <c r="D21" s="88">
        <v>1.0392609699769052E-2</v>
      </c>
      <c r="G21" s="172"/>
      <c r="H21" s="8" t="s">
        <v>32</v>
      </c>
      <c r="I21" s="9">
        <v>757</v>
      </c>
      <c r="J21" s="10">
        <v>316</v>
      </c>
      <c r="K21" s="10">
        <v>177</v>
      </c>
      <c r="L21" s="10">
        <v>263</v>
      </c>
      <c r="M21" s="10">
        <v>176</v>
      </c>
      <c r="N21" s="10">
        <v>43</v>
      </c>
      <c r="O21" s="11"/>
      <c r="P21" s="10">
        <v>440</v>
      </c>
      <c r="Q21" s="10">
        <v>637</v>
      </c>
      <c r="R21" s="10">
        <v>113</v>
      </c>
      <c r="S21" s="10">
        <v>108</v>
      </c>
      <c r="T21" s="10">
        <v>68</v>
      </c>
      <c r="U21" s="1"/>
    </row>
    <row r="22" spans="1:21" ht="16.5" customHeight="1" x14ac:dyDescent="0.3">
      <c r="A22" s="176"/>
      <c r="B22" s="86" t="s">
        <v>21</v>
      </c>
      <c r="C22" s="87">
        <v>33</v>
      </c>
      <c r="D22" s="88">
        <v>1.9053117782909929E-2</v>
      </c>
      <c r="G22" s="7"/>
      <c r="H22" s="8"/>
      <c r="I22" s="22"/>
      <c r="J22" s="22"/>
      <c r="K22" s="22"/>
      <c r="L22" s="22"/>
      <c r="M22" s="22"/>
      <c r="N22" s="22"/>
      <c r="O22" s="18"/>
      <c r="P22" s="22"/>
      <c r="Q22" s="22"/>
      <c r="R22" s="22"/>
      <c r="S22" s="22"/>
      <c r="T22" s="22"/>
      <c r="U22" s="1"/>
    </row>
    <row r="23" spans="1:21" ht="16.5" customHeight="1" x14ac:dyDescent="0.3">
      <c r="A23" s="176"/>
      <c r="B23" s="86" t="s">
        <v>22</v>
      </c>
      <c r="C23" s="87">
        <v>15</v>
      </c>
      <c r="D23" s="88">
        <v>8.6605080831408769E-3</v>
      </c>
      <c r="G23" s="172" t="s">
        <v>103</v>
      </c>
      <c r="H23" s="8" t="s">
        <v>104</v>
      </c>
      <c r="I23" s="9">
        <v>228</v>
      </c>
      <c r="J23" s="10">
        <v>30</v>
      </c>
      <c r="K23" s="10">
        <v>87</v>
      </c>
      <c r="L23" s="10">
        <v>18</v>
      </c>
      <c r="M23" s="10">
        <v>86</v>
      </c>
      <c r="N23" s="10">
        <v>23</v>
      </c>
      <c r="O23" s="11"/>
      <c r="P23" s="10">
        <v>105</v>
      </c>
      <c r="Q23" s="10">
        <v>163</v>
      </c>
      <c r="R23" s="10">
        <v>63</v>
      </c>
      <c r="S23" s="10">
        <v>58</v>
      </c>
      <c r="T23" s="10">
        <v>28</v>
      </c>
      <c r="U23" s="1"/>
    </row>
    <row r="24" spans="1:21" ht="16.5" customHeight="1" x14ac:dyDescent="0.3">
      <c r="A24" s="176"/>
      <c r="B24" s="86" t="s">
        <v>23</v>
      </c>
      <c r="C24" s="87">
        <v>37</v>
      </c>
      <c r="D24" s="88">
        <v>2.1362586605080832E-2</v>
      </c>
      <c r="G24" s="172"/>
      <c r="H24" s="8" t="s">
        <v>105</v>
      </c>
      <c r="I24" s="9">
        <v>175</v>
      </c>
      <c r="J24" s="10">
        <v>60</v>
      </c>
      <c r="K24" s="10">
        <v>30</v>
      </c>
      <c r="L24" s="10">
        <v>45</v>
      </c>
      <c r="M24" s="10">
        <v>43</v>
      </c>
      <c r="N24" s="10">
        <v>11</v>
      </c>
      <c r="O24" s="11"/>
      <c r="P24" s="10">
        <v>75</v>
      </c>
      <c r="Q24" s="10">
        <v>148</v>
      </c>
      <c r="R24" s="10">
        <v>26</v>
      </c>
      <c r="S24" s="10">
        <v>25</v>
      </c>
      <c r="T24" s="10">
        <v>18</v>
      </c>
      <c r="U24" s="1"/>
    </row>
    <row r="25" spans="1:21" ht="16.5" customHeight="1" x14ac:dyDescent="0.3">
      <c r="A25" s="176"/>
      <c r="B25" s="86" t="s">
        <v>24</v>
      </c>
      <c r="C25" s="87">
        <v>12</v>
      </c>
      <c r="D25" s="88">
        <v>6.9284064665127024E-3</v>
      </c>
      <c r="G25" s="172"/>
      <c r="H25" s="8" t="s">
        <v>106</v>
      </c>
      <c r="I25" s="9">
        <v>266</v>
      </c>
      <c r="J25" s="10">
        <v>210</v>
      </c>
      <c r="K25" s="10">
        <v>37</v>
      </c>
      <c r="L25" s="10">
        <v>191</v>
      </c>
      <c r="M25" s="10">
        <v>24</v>
      </c>
      <c r="N25" s="10">
        <v>5</v>
      </c>
      <c r="O25" s="11"/>
      <c r="P25" s="10">
        <v>228</v>
      </c>
      <c r="Q25" s="10">
        <v>252</v>
      </c>
      <c r="R25" s="10">
        <v>10</v>
      </c>
      <c r="S25" s="10">
        <v>14</v>
      </c>
      <c r="T25" s="10">
        <v>10</v>
      </c>
      <c r="U25" s="1"/>
    </row>
    <row r="26" spans="1:21" ht="16.5" customHeight="1" x14ac:dyDescent="0.3">
      <c r="A26" s="176"/>
      <c r="B26" s="86" t="s">
        <v>25</v>
      </c>
      <c r="C26" s="87">
        <v>10</v>
      </c>
      <c r="D26" s="88">
        <v>5.773672055427251E-3</v>
      </c>
      <c r="G26" s="172"/>
      <c r="H26" s="8" t="s">
        <v>32</v>
      </c>
      <c r="I26" s="9">
        <v>669</v>
      </c>
      <c r="J26" s="10">
        <v>300</v>
      </c>
      <c r="K26" s="10">
        <v>154</v>
      </c>
      <c r="L26" s="10">
        <v>254</v>
      </c>
      <c r="M26" s="10">
        <v>153</v>
      </c>
      <c r="N26" s="10">
        <v>39</v>
      </c>
      <c r="O26" s="11"/>
      <c r="P26" s="10">
        <v>408</v>
      </c>
      <c r="Q26" s="10">
        <v>563</v>
      </c>
      <c r="R26" s="10">
        <v>99</v>
      </c>
      <c r="S26" s="10">
        <v>97</v>
      </c>
      <c r="T26" s="10">
        <v>56</v>
      </c>
      <c r="U26" s="1"/>
    </row>
    <row r="27" spans="1:21" ht="16.5" customHeight="1" x14ac:dyDescent="0.3">
      <c r="A27" s="176"/>
      <c r="B27" s="86" t="s">
        <v>26</v>
      </c>
      <c r="C27" s="87">
        <v>8</v>
      </c>
      <c r="D27" s="88">
        <v>4.6189376443418013E-3</v>
      </c>
      <c r="G27" s="7"/>
      <c r="H27" s="8"/>
      <c r="I27" s="22"/>
      <c r="J27" s="22"/>
      <c r="K27" s="22"/>
      <c r="L27" s="22"/>
      <c r="M27" s="22"/>
      <c r="N27" s="22"/>
      <c r="O27" s="18"/>
      <c r="P27" s="22"/>
      <c r="Q27" s="22"/>
      <c r="R27" s="22"/>
      <c r="S27" s="22"/>
      <c r="T27" s="22"/>
      <c r="U27" s="1"/>
    </row>
    <row r="28" spans="1:21" ht="16.5" customHeight="1" x14ac:dyDescent="0.3">
      <c r="A28" s="176"/>
      <c r="B28" s="86" t="s">
        <v>27</v>
      </c>
      <c r="C28" s="87">
        <v>7</v>
      </c>
      <c r="D28" s="88">
        <v>4.0415704387990765E-3</v>
      </c>
      <c r="G28" s="173" t="s">
        <v>107</v>
      </c>
      <c r="H28" s="8" t="s">
        <v>108</v>
      </c>
      <c r="I28" s="9">
        <v>24</v>
      </c>
      <c r="J28" s="10">
        <v>5</v>
      </c>
      <c r="K28" s="10">
        <v>5</v>
      </c>
      <c r="L28" s="10">
        <v>10</v>
      </c>
      <c r="M28" s="10">
        <v>13</v>
      </c>
      <c r="N28" s="10">
        <v>4</v>
      </c>
      <c r="O28" s="11"/>
      <c r="P28" s="10">
        <v>15</v>
      </c>
      <c r="Q28" s="10">
        <v>18</v>
      </c>
      <c r="R28" s="10">
        <v>5</v>
      </c>
      <c r="S28" s="10">
        <v>7</v>
      </c>
      <c r="T28" s="10">
        <v>6</v>
      </c>
      <c r="U28" s="1"/>
    </row>
    <row r="29" spans="1:21" ht="16.5" customHeight="1" x14ac:dyDescent="0.3">
      <c r="A29" s="176"/>
      <c r="B29" s="86" t="s">
        <v>28</v>
      </c>
      <c r="C29" s="87">
        <v>4</v>
      </c>
      <c r="D29" s="88">
        <v>2.3094688221709007E-3</v>
      </c>
      <c r="G29" s="174"/>
      <c r="H29" s="8" t="s">
        <v>109</v>
      </c>
      <c r="I29" s="9">
        <v>65</v>
      </c>
      <c r="J29" s="10">
        <v>43</v>
      </c>
      <c r="K29" s="10">
        <v>55</v>
      </c>
      <c r="L29" s="10">
        <v>38</v>
      </c>
      <c r="M29" s="10">
        <v>14</v>
      </c>
      <c r="N29" s="10">
        <v>4</v>
      </c>
      <c r="O29" s="11"/>
      <c r="P29" s="10">
        <v>93</v>
      </c>
      <c r="Q29" s="10">
        <v>59</v>
      </c>
      <c r="R29" s="10">
        <v>6</v>
      </c>
      <c r="S29" s="10">
        <v>8</v>
      </c>
      <c r="T29" s="10">
        <v>6</v>
      </c>
      <c r="U29" s="1"/>
    </row>
    <row r="30" spans="1:21" ht="16.5" customHeight="1" x14ac:dyDescent="0.3">
      <c r="A30" s="176"/>
      <c r="B30" s="86" t="s">
        <v>29</v>
      </c>
      <c r="C30" s="87">
        <v>199</v>
      </c>
      <c r="D30" s="88">
        <v>0.11489607390300231</v>
      </c>
      <c r="G30" s="174"/>
      <c r="H30" s="8" t="s">
        <v>110</v>
      </c>
      <c r="I30" s="9">
        <v>50</v>
      </c>
      <c r="J30" s="10">
        <v>29</v>
      </c>
      <c r="K30" s="10">
        <v>16</v>
      </c>
      <c r="L30" s="10">
        <v>33</v>
      </c>
      <c r="M30" s="10">
        <v>8</v>
      </c>
      <c r="N30" s="10">
        <v>1</v>
      </c>
      <c r="O30" s="11"/>
      <c r="P30" s="10">
        <v>49</v>
      </c>
      <c r="Q30" s="10">
        <v>48</v>
      </c>
      <c r="R30" s="10">
        <v>1</v>
      </c>
      <c r="S30" s="10">
        <v>5</v>
      </c>
      <c r="T30" s="10">
        <v>3</v>
      </c>
      <c r="U30" s="1"/>
    </row>
    <row r="31" spans="1:21" ht="16.5" customHeight="1" x14ac:dyDescent="0.3">
      <c r="A31" s="176"/>
      <c r="B31" s="86" t="s">
        <v>30</v>
      </c>
      <c r="C31" s="87">
        <v>54</v>
      </c>
      <c r="D31" s="88">
        <v>3.117782909930716E-2</v>
      </c>
      <c r="G31" s="174"/>
      <c r="H31" s="8" t="s">
        <v>111</v>
      </c>
      <c r="I31" s="9">
        <v>23</v>
      </c>
      <c r="J31" s="10">
        <v>20</v>
      </c>
      <c r="K31" s="10">
        <v>7</v>
      </c>
      <c r="L31" s="10">
        <v>23</v>
      </c>
      <c r="M31" s="10">
        <v>2</v>
      </c>
      <c r="N31" s="10">
        <v>0</v>
      </c>
      <c r="O31" s="11"/>
      <c r="P31" s="10">
        <v>30</v>
      </c>
      <c r="Q31" s="10">
        <v>21</v>
      </c>
      <c r="R31" s="10">
        <v>2</v>
      </c>
      <c r="S31" s="10">
        <v>0</v>
      </c>
      <c r="T31" s="10">
        <v>2</v>
      </c>
      <c r="U31" s="1"/>
    </row>
    <row r="32" spans="1:21" ht="16.5" customHeight="1" x14ac:dyDescent="0.3">
      <c r="A32" s="176"/>
      <c r="B32" s="86" t="s">
        <v>31</v>
      </c>
      <c r="C32" s="87">
        <v>21</v>
      </c>
      <c r="D32" s="88">
        <v>1.2124711316397229E-2</v>
      </c>
      <c r="G32" s="174"/>
      <c r="H32" s="8" t="s">
        <v>112</v>
      </c>
      <c r="I32" s="9">
        <v>25</v>
      </c>
      <c r="J32" s="10">
        <v>12</v>
      </c>
      <c r="K32" s="10">
        <v>11</v>
      </c>
      <c r="L32" s="10">
        <v>10</v>
      </c>
      <c r="M32" s="10">
        <v>9</v>
      </c>
      <c r="N32" s="10">
        <v>0</v>
      </c>
      <c r="O32" s="11"/>
      <c r="P32" s="10">
        <v>21</v>
      </c>
      <c r="Q32" s="10">
        <v>19</v>
      </c>
      <c r="R32" s="10">
        <v>6</v>
      </c>
      <c r="S32" s="10">
        <v>6</v>
      </c>
      <c r="T32" s="10">
        <v>3</v>
      </c>
      <c r="U32" s="1"/>
    </row>
    <row r="33" spans="1:21" ht="16.5" customHeight="1" x14ac:dyDescent="0.3">
      <c r="A33" s="176"/>
      <c r="B33" s="86" t="s">
        <v>32</v>
      </c>
      <c r="C33" s="87">
        <v>1732</v>
      </c>
      <c r="D33" s="88">
        <v>1</v>
      </c>
      <c r="G33" s="174"/>
      <c r="H33" s="8" t="s">
        <v>113</v>
      </c>
      <c r="I33" s="9">
        <v>21</v>
      </c>
      <c r="J33" s="10">
        <v>15</v>
      </c>
      <c r="K33" s="10">
        <v>3</v>
      </c>
      <c r="L33" s="10">
        <v>28</v>
      </c>
      <c r="M33" s="10">
        <v>6</v>
      </c>
      <c r="N33" s="10">
        <v>2</v>
      </c>
      <c r="O33" s="11"/>
      <c r="P33" s="10">
        <v>31</v>
      </c>
      <c r="Q33" s="10">
        <v>20</v>
      </c>
      <c r="R33" s="10">
        <v>1</v>
      </c>
      <c r="S33" s="10">
        <v>4</v>
      </c>
      <c r="T33" s="10">
        <v>2</v>
      </c>
      <c r="U33" s="2"/>
    </row>
    <row r="34" spans="1:21" ht="16.5" customHeight="1" x14ac:dyDescent="0.3">
      <c r="A34" s="149"/>
      <c r="B34" s="150"/>
      <c r="C34" s="151"/>
      <c r="D34" s="152"/>
      <c r="G34" s="174"/>
      <c r="H34" s="8" t="s">
        <v>114</v>
      </c>
      <c r="I34" s="9">
        <v>21</v>
      </c>
      <c r="J34" s="10">
        <v>12</v>
      </c>
      <c r="K34" s="10">
        <v>4</v>
      </c>
      <c r="L34" s="10">
        <v>10</v>
      </c>
      <c r="M34" s="10">
        <v>2</v>
      </c>
      <c r="N34" s="10">
        <v>0</v>
      </c>
      <c r="O34" s="11"/>
      <c r="P34" s="10">
        <v>14</v>
      </c>
      <c r="Q34" s="10">
        <v>16</v>
      </c>
      <c r="R34" s="10">
        <v>5</v>
      </c>
      <c r="S34" s="10">
        <v>1</v>
      </c>
      <c r="T34" s="10">
        <v>1</v>
      </c>
      <c r="U34" s="1"/>
    </row>
    <row r="35" spans="1:21" ht="16.5" customHeight="1" x14ac:dyDescent="0.3">
      <c r="A35" s="175" t="s">
        <v>122</v>
      </c>
      <c r="B35" s="85" t="s">
        <v>99</v>
      </c>
      <c r="C35" s="85">
        <v>771</v>
      </c>
      <c r="D35" s="106">
        <v>0.44515011547344119</v>
      </c>
      <c r="E35" s="143"/>
      <c r="G35" s="174"/>
      <c r="H35" s="8" t="s">
        <v>115</v>
      </c>
      <c r="I35" s="9">
        <v>58</v>
      </c>
      <c r="J35" s="10">
        <v>15</v>
      </c>
      <c r="K35" s="10">
        <v>2</v>
      </c>
      <c r="L35" s="10">
        <v>11</v>
      </c>
      <c r="M35" s="10">
        <v>7</v>
      </c>
      <c r="N35" s="10">
        <v>1</v>
      </c>
      <c r="O35" s="11"/>
      <c r="P35" s="10">
        <v>13</v>
      </c>
      <c r="Q35" s="10">
        <v>53</v>
      </c>
      <c r="R35" s="10">
        <v>4</v>
      </c>
      <c r="S35" s="10">
        <v>6</v>
      </c>
      <c r="T35" s="10">
        <v>1</v>
      </c>
      <c r="U35" s="1"/>
    </row>
    <row r="36" spans="1:21" ht="16.5" customHeight="1" x14ac:dyDescent="0.3">
      <c r="A36" s="175"/>
      <c r="B36" s="85" t="s">
        <v>123</v>
      </c>
      <c r="C36" s="85">
        <v>156</v>
      </c>
      <c r="D36" s="106">
        <v>9.0069284064665134E-2</v>
      </c>
      <c r="E36" s="143"/>
      <c r="G36" s="174"/>
      <c r="H36" s="8" t="s">
        <v>116</v>
      </c>
      <c r="I36" s="9">
        <v>100</v>
      </c>
      <c r="J36" s="10">
        <v>45</v>
      </c>
      <c r="K36" s="10">
        <v>2</v>
      </c>
      <c r="L36" s="10">
        <v>28</v>
      </c>
      <c r="M36" s="10">
        <v>18</v>
      </c>
      <c r="N36" s="10">
        <v>7</v>
      </c>
      <c r="O36" s="11"/>
      <c r="P36" s="10">
        <v>30</v>
      </c>
      <c r="Q36" s="10">
        <v>88</v>
      </c>
      <c r="R36" s="10">
        <v>12</v>
      </c>
      <c r="S36" s="10">
        <v>14</v>
      </c>
      <c r="T36" s="10">
        <v>4</v>
      </c>
      <c r="U36" s="1"/>
    </row>
    <row r="37" spans="1:21" ht="16.5" customHeight="1" x14ac:dyDescent="0.3">
      <c r="A37" s="175"/>
      <c r="B37" s="85" t="s">
        <v>124</v>
      </c>
      <c r="C37" s="85">
        <v>61</v>
      </c>
      <c r="D37" s="106">
        <v>3.5219399538106239E-2</v>
      </c>
      <c r="E37" s="143"/>
      <c r="G37" s="174"/>
      <c r="H37" s="8" t="s">
        <v>117</v>
      </c>
      <c r="I37" s="9">
        <v>19</v>
      </c>
      <c r="J37" s="10">
        <v>21</v>
      </c>
      <c r="K37" s="10">
        <v>6</v>
      </c>
      <c r="L37" s="10">
        <v>13</v>
      </c>
      <c r="M37" s="10">
        <v>7</v>
      </c>
      <c r="N37" s="10">
        <v>1</v>
      </c>
      <c r="O37" s="11"/>
      <c r="P37" s="10">
        <v>19</v>
      </c>
      <c r="Q37" s="10">
        <v>15</v>
      </c>
      <c r="R37" s="10">
        <v>4</v>
      </c>
      <c r="S37" s="10">
        <v>1</v>
      </c>
      <c r="T37" s="10">
        <v>6</v>
      </c>
      <c r="U37" s="1"/>
    </row>
    <row r="38" spans="1:21" ht="16.5" customHeight="1" x14ac:dyDescent="0.3">
      <c r="A38" s="175"/>
      <c r="B38" s="85" t="s">
        <v>125</v>
      </c>
      <c r="C38" s="85">
        <v>80</v>
      </c>
      <c r="D38" s="106">
        <v>4.6189376443418008E-2</v>
      </c>
      <c r="E38" s="143"/>
      <c r="G38" s="174"/>
      <c r="H38" s="8" t="s">
        <v>118</v>
      </c>
      <c r="I38" s="9">
        <v>20</v>
      </c>
      <c r="J38" s="10">
        <v>10</v>
      </c>
      <c r="K38" s="10">
        <v>3</v>
      </c>
      <c r="L38" s="10">
        <v>6</v>
      </c>
      <c r="M38" s="10">
        <v>10</v>
      </c>
      <c r="N38" s="10">
        <v>2</v>
      </c>
      <c r="O38" s="11"/>
      <c r="P38" s="10">
        <v>9</v>
      </c>
      <c r="Q38" s="10">
        <v>18</v>
      </c>
      <c r="R38" s="10">
        <v>2</v>
      </c>
      <c r="S38" s="10">
        <v>6</v>
      </c>
      <c r="T38" s="10">
        <v>4</v>
      </c>
      <c r="U38" s="1"/>
    </row>
    <row r="39" spans="1:21" ht="16.5" customHeight="1" x14ac:dyDescent="0.3">
      <c r="A39" s="175"/>
      <c r="B39" s="85" t="s">
        <v>126</v>
      </c>
      <c r="C39" s="85">
        <v>108</v>
      </c>
      <c r="D39" s="106">
        <v>6.2355658198614321E-2</v>
      </c>
      <c r="E39" s="143"/>
      <c r="G39" s="174"/>
      <c r="H39" s="8" t="s">
        <v>119</v>
      </c>
      <c r="I39" s="9">
        <v>86</v>
      </c>
      <c r="J39" s="10">
        <v>27</v>
      </c>
      <c r="K39" s="10">
        <v>10</v>
      </c>
      <c r="L39" s="10">
        <v>12</v>
      </c>
      <c r="M39" s="10">
        <v>23</v>
      </c>
      <c r="N39" s="10">
        <v>7</v>
      </c>
      <c r="O39" s="11"/>
      <c r="P39" s="10">
        <v>22</v>
      </c>
      <c r="Q39" s="10">
        <v>69</v>
      </c>
      <c r="R39" s="10">
        <v>16</v>
      </c>
      <c r="S39" s="10">
        <v>11</v>
      </c>
      <c r="T39" s="10">
        <v>12</v>
      </c>
      <c r="U39" s="1"/>
    </row>
    <row r="40" spans="1:21" ht="16.5" customHeight="1" x14ac:dyDescent="0.3">
      <c r="A40" s="175"/>
      <c r="B40" s="85" t="s">
        <v>127</v>
      </c>
      <c r="C40" s="85">
        <v>99</v>
      </c>
      <c r="D40" s="106">
        <v>5.7159353348729791E-2</v>
      </c>
      <c r="E40" s="143"/>
      <c r="G40" s="174"/>
      <c r="H40" s="8" t="s">
        <v>120</v>
      </c>
      <c r="I40" s="9">
        <v>47</v>
      </c>
      <c r="J40" s="10">
        <v>27</v>
      </c>
      <c r="K40" s="10">
        <v>18</v>
      </c>
      <c r="L40" s="10">
        <v>25</v>
      </c>
      <c r="M40" s="10">
        <v>11</v>
      </c>
      <c r="N40" s="10">
        <v>4</v>
      </c>
      <c r="O40" s="11"/>
      <c r="P40" s="10">
        <v>43</v>
      </c>
      <c r="Q40" s="10">
        <v>37</v>
      </c>
      <c r="R40" s="10">
        <v>9</v>
      </c>
      <c r="S40" s="10">
        <v>9</v>
      </c>
      <c r="T40" s="10">
        <v>2</v>
      </c>
      <c r="U40" s="1"/>
    </row>
    <row r="41" spans="1:21" ht="16.5" customHeight="1" x14ac:dyDescent="0.3">
      <c r="A41" s="175"/>
      <c r="B41" s="85" t="s">
        <v>102</v>
      </c>
      <c r="C41" s="85">
        <v>199</v>
      </c>
      <c r="D41" s="106">
        <v>0.11489607390300231</v>
      </c>
      <c r="E41" s="143"/>
      <c r="G41" s="174"/>
      <c r="H41" s="8" t="s">
        <v>121</v>
      </c>
      <c r="I41" s="9">
        <v>38</v>
      </c>
      <c r="J41" s="10">
        <v>3</v>
      </c>
      <c r="K41" s="10">
        <v>1</v>
      </c>
      <c r="L41" s="10">
        <v>1</v>
      </c>
      <c r="M41" s="10">
        <v>7</v>
      </c>
      <c r="N41" s="10">
        <v>2</v>
      </c>
      <c r="O41" s="11"/>
      <c r="P41" s="10">
        <v>2</v>
      </c>
      <c r="Q41" s="10">
        <v>28</v>
      </c>
      <c r="R41" s="10">
        <v>10</v>
      </c>
      <c r="S41" s="10">
        <v>7</v>
      </c>
      <c r="T41" s="10">
        <v>0</v>
      </c>
    </row>
    <row r="42" spans="1:21" ht="16.5" customHeight="1" x14ac:dyDescent="0.3">
      <c r="A42" s="175"/>
      <c r="B42" s="85" t="s">
        <v>128</v>
      </c>
      <c r="C42" s="85">
        <v>130</v>
      </c>
      <c r="D42" s="106">
        <v>7.5057736720554269E-2</v>
      </c>
      <c r="E42" s="143"/>
      <c r="G42" s="174"/>
      <c r="H42" s="8" t="s">
        <v>30</v>
      </c>
      <c r="I42" s="9">
        <v>72</v>
      </c>
      <c r="J42" s="10">
        <v>16</v>
      </c>
      <c r="K42" s="10">
        <v>11</v>
      </c>
      <c r="L42" s="10">
        <v>6</v>
      </c>
      <c r="M42" s="10">
        <v>16</v>
      </c>
      <c r="N42" s="10">
        <v>4</v>
      </c>
      <c r="O42" s="11"/>
      <c r="P42" s="10">
        <v>17</v>
      </c>
      <c r="Q42" s="10">
        <v>54</v>
      </c>
      <c r="R42" s="10">
        <v>16</v>
      </c>
      <c r="S42" s="10">
        <v>12</v>
      </c>
      <c r="T42" s="10">
        <v>4</v>
      </c>
    </row>
    <row r="43" spans="1:21" ht="16.5" customHeight="1" x14ac:dyDescent="0.3">
      <c r="A43" s="175"/>
      <c r="B43" s="85" t="s">
        <v>129</v>
      </c>
      <c r="C43" s="85">
        <v>33</v>
      </c>
      <c r="D43" s="106">
        <v>1.9053117782909929E-2</v>
      </c>
      <c r="E43" s="143"/>
      <c r="G43" s="171"/>
      <c r="H43" s="8" t="s">
        <v>32</v>
      </c>
      <c r="I43" s="9">
        <v>669</v>
      </c>
      <c r="J43" s="10">
        <v>300</v>
      </c>
      <c r="K43" s="10">
        <v>154</v>
      </c>
      <c r="L43" s="10">
        <v>254</v>
      </c>
      <c r="M43" s="10">
        <v>153</v>
      </c>
      <c r="N43" s="10">
        <v>39</v>
      </c>
      <c r="O43" s="11"/>
      <c r="P43" s="10">
        <v>408</v>
      </c>
      <c r="Q43" s="10">
        <v>563</v>
      </c>
      <c r="R43" s="10">
        <v>99</v>
      </c>
      <c r="S43" s="10">
        <v>97</v>
      </c>
      <c r="T43" s="10">
        <v>56</v>
      </c>
    </row>
    <row r="44" spans="1:21" ht="16.5" customHeight="1" x14ac:dyDescent="0.3">
      <c r="A44" s="175"/>
      <c r="B44" s="85" t="s">
        <v>130</v>
      </c>
      <c r="C44" s="85">
        <v>95</v>
      </c>
      <c r="D44" s="106">
        <v>5.4849884526558895E-2</v>
      </c>
      <c r="E44" s="143"/>
    </row>
    <row r="45" spans="1:21" ht="16.5" customHeight="1" x14ac:dyDescent="0.3">
      <c r="A45" s="175"/>
      <c r="B45" s="153" t="s">
        <v>32</v>
      </c>
      <c r="C45" s="154">
        <v>1732</v>
      </c>
      <c r="D45" s="155">
        <v>1</v>
      </c>
    </row>
    <row r="47" spans="1:21" ht="16.5" customHeight="1" x14ac:dyDescent="0.3">
      <c r="A47" s="176" t="s">
        <v>98</v>
      </c>
      <c r="B47" s="86" t="s">
        <v>99</v>
      </c>
      <c r="C47" s="87">
        <v>771</v>
      </c>
      <c r="D47" s="88">
        <v>0.44515011547344119</v>
      </c>
    </row>
    <row r="48" spans="1:21" ht="16.5" customHeight="1" x14ac:dyDescent="0.3">
      <c r="A48" s="176"/>
      <c r="B48" s="86" t="s">
        <v>100</v>
      </c>
      <c r="C48" s="87">
        <v>961</v>
      </c>
      <c r="D48" s="88">
        <v>0.55484988452655892</v>
      </c>
    </row>
    <row r="49" spans="1:4" ht="16.5" customHeight="1" x14ac:dyDescent="0.3">
      <c r="A49" s="176"/>
      <c r="B49" s="86" t="s">
        <v>32</v>
      </c>
      <c r="C49" s="87">
        <v>1732</v>
      </c>
      <c r="D49" s="88">
        <v>1</v>
      </c>
    </row>
    <row r="50" spans="1:4" ht="16.5" customHeight="1" x14ac:dyDescent="0.3">
      <c r="A50" s="149"/>
      <c r="B50" s="86"/>
      <c r="C50" s="87"/>
      <c r="D50" s="88"/>
    </row>
    <row r="51" spans="1:4" ht="16.5" customHeight="1" x14ac:dyDescent="0.3">
      <c r="A51" s="176" t="s">
        <v>101</v>
      </c>
      <c r="B51" s="86" t="s">
        <v>99</v>
      </c>
      <c r="C51" s="87">
        <v>771</v>
      </c>
      <c r="D51" s="88">
        <v>0.44515011547344119</v>
      </c>
    </row>
    <row r="52" spans="1:4" ht="16.5" customHeight="1" x14ac:dyDescent="0.3">
      <c r="A52" s="176"/>
      <c r="B52" s="86" t="s">
        <v>100</v>
      </c>
      <c r="C52" s="87">
        <v>762</v>
      </c>
      <c r="D52" s="88">
        <v>0.4399538106235566</v>
      </c>
    </row>
    <row r="53" spans="1:4" ht="16.5" customHeight="1" x14ac:dyDescent="0.3">
      <c r="A53" s="176"/>
      <c r="B53" s="86" t="s">
        <v>102</v>
      </c>
      <c r="C53" s="87">
        <v>199</v>
      </c>
      <c r="D53" s="88">
        <v>0.11489607390300231</v>
      </c>
    </row>
    <row r="54" spans="1:4" ht="16.5" customHeight="1" x14ac:dyDescent="0.3">
      <c r="A54" s="176"/>
      <c r="B54" s="86" t="s">
        <v>32</v>
      </c>
      <c r="C54" s="87">
        <v>1732</v>
      </c>
      <c r="D54" s="88">
        <v>1</v>
      </c>
    </row>
    <row r="55" spans="1:4" ht="16.5" customHeight="1" x14ac:dyDescent="0.3">
      <c r="A55" s="149"/>
      <c r="B55" s="86"/>
      <c r="C55" s="87"/>
      <c r="D55" s="88"/>
    </row>
    <row r="56" spans="1:4" ht="16.5" customHeight="1" x14ac:dyDescent="0.3">
      <c r="A56" s="176" t="s">
        <v>138</v>
      </c>
      <c r="B56" s="86" t="s">
        <v>33</v>
      </c>
      <c r="C56" s="87">
        <v>637</v>
      </c>
      <c r="D56" s="88">
        <v>0.36778290993071594</v>
      </c>
    </row>
    <row r="57" spans="1:4" ht="16.5" customHeight="1" x14ac:dyDescent="0.3">
      <c r="A57" s="176"/>
      <c r="B57" s="86" t="s">
        <v>34</v>
      </c>
      <c r="C57" s="87">
        <v>113</v>
      </c>
      <c r="D57" s="88">
        <v>6.5242494226327941E-2</v>
      </c>
    </row>
    <row r="58" spans="1:4" ht="16.5" customHeight="1" x14ac:dyDescent="0.3">
      <c r="A58" s="176"/>
      <c r="B58" s="86" t="s">
        <v>35</v>
      </c>
      <c r="C58" s="87">
        <v>7</v>
      </c>
      <c r="D58" s="88">
        <v>4.0415704387990765E-3</v>
      </c>
    </row>
    <row r="59" spans="1:4" ht="16.5" customHeight="1" x14ac:dyDescent="0.3">
      <c r="A59" s="176"/>
      <c r="B59" s="86" t="s">
        <v>36</v>
      </c>
      <c r="C59" s="87">
        <v>68</v>
      </c>
      <c r="D59" s="88">
        <v>3.9260969976905313E-2</v>
      </c>
    </row>
    <row r="60" spans="1:4" ht="16.5" customHeight="1" x14ac:dyDescent="0.3">
      <c r="A60" s="176"/>
      <c r="B60" s="86" t="s">
        <v>37</v>
      </c>
      <c r="C60" s="87">
        <v>8</v>
      </c>
      <c r="D60" s="88">
        <v>4.6189376443418013E-3</v>
      </c>
    </row>
    <row r="61" spans="1:4" ht="16.5" customHeight="1" x14ac:dyDescent="0.3">
      <c r="A61" s="176"/>
      <c r="B61" s="86" t="s">
        <v>38</v>
      </c>
      <c r="C61" s="87">
        <v>108</v>
      </c>
      <c r="D61" s="88">
        <v>6.2355658198614321E-2</v>
      </c>
    </row>
    <row r="62" spans="1:4" ht="16.5" customHeight="1" x14ac:dyDescent="0.3">
      <c r="A62" s="176"/>
      <c r="B62" s="86" t="s">
        <v>39</v>
      </c>
      <c r="C62" s="87">
        <v>1</v>
      </c>
      <c r="D62" s="88">
        <v>5.7736720554272516E-4</v>
      </c>
    </row>
    <row r="63" spans="1:4" ht="16.5" customHeight="1" x14ac:dyDescent="0.3">
      <c r="A63" s="176"/>
      <c r="B63" s="86" t="s">
        <v>40</v>
      </c>
      <c r="C63" s="87">
        <v>1</v>
      </c>
      <c r="D63" s="88">
        <v>5.7736720554272516E-4</v>
      </c>
    </row>
    <row r="64" spans="1:4" ht="16.5" customHeight="1" x14ac:dyDescent="0.3">
      <c r="A64" s="176"/>
      <c r="B64" s="86" t="s">
        <v>41</v>
      </c>
      <c r="C64" s="87">
        <v>2</v>
      </c>
      <c r="D64" s="88">
        <v>1.1547344110854503E-3</v>
      </c>
    </row>
    <row r="65" spans="1:4" ht="16.5" customHeight="1" x14ac:dyDescent="0.3">
      <c r="A65" s="176"/>
      <c r="B65" s="86" t="s">
        <v>42</v>
      </c>
      <c r="C65" s="87">
        <v>2</v>
      </c>
      <c r="D65" s="88">
        <v>1.1547344110854503E-3</v>
      </c>
    </row>
    <row r="66" spans="1:4" ht="16.5" customHeight="1" x14ac:dyDescent="0.3">
      <c r="A66" s="176"/>
      <c r="B66" s="86" t="s">
        <v>43</v>
      </c>
      <c r="C66" s="87">
        <v>1</v>
      </c>
      <c r="D66" s="88">
        <v>5.7736720554272516E-4</v>
      </c>
    </row>
    <row r="67" spans="1:4" ht="16.5" customHeight="1" x14ac:dyDescent="0.3">
      <c r="A67" s="176"/>
      <c r="B67" s="86" t="s">
        <v>44</v>
      </c>
      <c r="C67" s="87">
        <v>2</v>
      </c>
      <c r="D67" s="88">
        <v>1.1547344110854503E-3</v>
      </c>
    </row>
    <row r="68" spans="1:4" ht="16.5" customHeight="1" x14ac:dyDescent="0.3">
      <c r="A68" s="176"/>
      <c r="B68" s="86" t="s">
        <v>45</v>
      </c>
      <c r="C68" s="87">
        <v>74</v>
      </c>
      <c r="D68" s="88">
        <v>4.2725173210161664E-2</v>
      </c>
    </row>
    <row r="69" spans="1:4" ht="16.5" customHeight="1" x14ac:dyDescent="0.3">
      <c r="A69" s="176"/>
      <c r="B69" s="86" t="s">
        <v>46</v>
      </c>
      <c r="C69" s="87">
        <v>1</v>
      </c>
      <c r="D69" s="88">
        <v>5.7736720554272516E-4</v>
      </c>
    </row>
    <row r="70" spans="1:4" ht="16.5" customHeight="1" x14ac:dyDescent="0.3">
      <c r="A70" s="176"/>
      <c r="B70" s="86" t="s">
        <v>47</v>
      </c>
      <c r="C70" s="87">
        <v>10</v>
      </c>
      <c r="D70" s="88">
        <v>5.773672055427251E-3</v>
      </c>
    </row>
    <row r="71" spans="1:4" ht="16.5" customHeight="1" x14ac:dyDescent="0.3">
      <c r="A71" s="176"/>
      <c r="B71" s="86" t="s">
        <v>48</v>
      </c>
      <c r="C71" s="87">
        <v>5</v>
      </c>
      <c r="D71" s="88">
        <v>2.8868360277136255E-3</v>
      </c>
    </row>
    <row r="72" spans="1:4" ht="16.5" customHeight="1" x14ac:dyDescent="0.3">
      <c r="A72" s="176"/>
      <c r="B72" s="86" t="s">
        <v>49</v>
      </c>
      <c r="C72" s="87">
        <v>1</v>
      </c>
      <c r="D72" s="88">
        <v>5.7736720554272516E-4</v>
      </c>
    </row>
    <row r="73" spans="1:4" ht="16.5" customHeight="1" x14ac:dyDescent="0.3">
      <c r="A73" s="176"/>
      <c r="B73" s="86" t="s">
        <v>50</v>
      </c>
      <c r="C73" s="87">
        <v>47</v>
      </c>
      <c r="D73" s="88">
        <v>2.7136258660508082E-2</v>
      </c>
    </row>
    <row r="74" spans="1:4" ht="16.5" customHeight="1" x14ac:dyDescent="0.3">
      <c r="A74" s="176"/>
      <c r="B74" s="86" t="s">
        <v>51</v>
      </c>
      <c r="C74" s="87">
        <v>75</v>
      </c>
      <c r="D74" s="88">
        <v>4.3302540415704388E-2</v>
      </c>
    </row>
    <row r="75" spans="1:4" ht="16.5" customHeight="1" x14ac:dyDescent="0.3">
      <c r="A75" s="176"/>
      <c r="B75" s="86" t="s">
        <v>52</v>
      </c>
      <c r="C75" s="87">
        <v>2</v>
      </c>
      <c r="D75" s="88">
        <v>1.1547344110854503E-3</v>
      </c>
    </row>
    <row r="76" spans="1:4" ht="16.5" customHeight="1" x14ac:dyDescent="0.3">
      <c r="A76" s="176"/>
      <c r="B76" s="86" t="s">
        <v>53</v>
      </c>
      <c r="C76" s="87">
        <v>1</v>
      </c>
      <c r="D76" s="88">
        <v>5.7736720554272516E-4</v>
      </c>
    </row>
    <row r="77" spans="1:4" ht="16.5" customHeight="1" x14ac:dyDescent="0.3">
      <c r="A77" s="176"/>
      <c r="B77" s="86" t="s">
        <v>54</v>
      </c>
      <c r="C77" s="87">
        <v>3</v>
      </c>
      <c r="D77" s="88">
        <v>1.7321016166281756E-3</v>
      </c>
    </row>
    <row r="78" spans="1:4" ht="16.5" customHeight="1" x14ac:dyDescent="0.3">
      <c r="A78" s="176"/>
      <c r="B78" s="86" t="s">
        <v>55</v>
      </c>
      <c r="C78" s="87">
        <v>47</v>
      </c>
      <c r="D78" s="88">
        <v>2.7136258660508082E-2</v>
      </c>
    </row>
    <row r="79" spans="1:4" ht="16.5" customHeight="1" x14ac:dyDescent="0.3">
      <c r="A79" s="176"/>
      <c r="B79" s="86" t="s">
        <v>56</v>
      </c>
      <c r="C79" s="87">
        <v>2</v>
      </c>
      <c r="D79" s="88">
        <v>1.1547344110854503E-3</v>
      </c>
    </row>
    <row r="80" spans="1:4" ht="16.5" customHeight="1" x14ac:dyDescent="0.3">
      <c r="A80" s="176"/>
      <c r="B80" s="86" t="s">
        <v>57</v>
      </c>
      <c r="C80" s="87">
        <v>1</v>
      </c>
      <c r="D80" s="88">
        <v>5.7736720554272516E-4</v>
      </c>
    </row>
    <row r="81" spans="1:4" ht="16.5" customHeight="1" x14ac:dyDescent="0.3">
      <c r="A81" s="176"/>
      <c r="B81" s="86" t="s">
        <v>58</v>
      </c>
      <c r="C81" s="87">
        <v>6</v>
      </c>
      <c r="D81" s="88">
        <v>3.4642032332563512E-3</v>
      </c>
    </row>
    <row r="82" spans="1:4" ht="16.5" customHeight="1" x14ac:dyDescent="0.3">
      <c r="A82" s="176"/>
      <c r="B82" s="86" t="s">
        <v>59</v>
      </c>
      <c r="C82" s="87">
        <v>3</v>
      </c>
      <c r="D82" s="88">
        <v>1.7321016166281756E-3</v>
      </c>
    </row>
    <row r="83" spans="1:4" ht="16.5" customHeight="1" x14ac:dyDescent="0.3">
      <c r="A83" s="176"/>
      <c r="B83" s="86" t="s">
        <v>60</v>
      </c>
      <c r="C83" s="87">
        <v>1</v>
      </c>
      <c r="D83" s="88">
        <v>5.7736720554272516E-4</v>
      </c>
    </row>
    <row r="84" spans="1:4" ht="16.5" customHeight="1" x14ac:dyDescent="0.3">
      <c r="A84" s="176"/>
      <c r="B84" s="86" t="s">
        <v>61</v>
      </c>
      <c r="C84" s="87">
        <v>3</v>
      </c>
      <c r="D84" s="88">
        <v>1.7321016166281756E-3</v>
      </c>
    </row>
    <row r="85" spans="1:4" ht="16.5" customHeight="1" x14ac:dyDescent="0.3">
      <c r="A85" s="176"/>
      <c r="B85" s="86" t="s">
        <v>62</v>
      </c>
      <c r="C85" s="87">
        <v>7</v>
      </c>
      <c r="D85" s="88">
        <v>4.0415704387990765E-3</v>
      </c>
    </row>
    <row r="86" spans="1:4" ht="16.5" customHeight="1" x14ac:dyDescent="0.3">
      <c r="A86" s="176"/>
      <c r="B86" s="86" t="s">
        <v>63</v>
      </c>
      <c r="C86" s="87">
        <v>5</v>
      </c>
      <c r="D86" s="88">
        <v>2.8868360277136255E-3</v>
      </c>
    </row>
    <row r="87" spans="1:4" ht="16.5" customHeight="1" x14ac:dyDescent="0.3">
      <c r="A87" s="176"/>
      <c r="B87" s="86" t="s">
        <v>64</v>
      </c>
      <c r="C87" s="87">
        <v>17</v>
      </c>
      <c r="D87" s="88">
        <v>9.8152424942263283E-3</v>
      </c>
    </row>
    <row r="88" spans="1:4" ht="16.5" customHeight="1" x14ac:dyDescent="0.3">
      <c r="A88" s="176"/>
      <c r="B88" s="86" t="s">
        <v>65</v>
      </c>
      <c r="C88" s="87">
        <v>1</v>
      </c>
      <c r="D88" s="88">
        <v>5.7736720554272516E-4</v>
      </c>
    </row>
    <row r="89" spans="1:4" ht="16.5" customHeight="1" x14ac:dyDescent="0.3">
      <c r="A89" s="176"/>
      <c r="B89" s="86" t="s">
        <v>66</v>
      </c>
      <c r="C89" s="87">
        <v>1</v>
      </c>
      <c r="D89" s="88">
        <v>5.7736720554272516E-4</v>
      </c>
    </row>
    <row r="90" spans="1:4" ht="16.5" customHeight="1" x14ac:dyDescent="0.3">
      <c r="A90" s="176"/>
      <c r="B90" s="86" t="s">
        <v>67</v>
      </c>
      <c r="C90" s="87">
        <v>1</v>
      </c>
      <c r="D90" s="88">
        <v>5.7736720554272516E-4</v>
      </c>
    </row>
    <row r="91" spans="1:4" ht="16.5" customHeight="1" x14ac:dyDescent="0.3">
      <c r="A91" s="176"/>
      <c r="B91" s="86" t="s">
        <v>68</v>
      </c>
      <c r="C91" s="87">
        <v>2</v>
      </c>
      <c r="D91" s="88">
        <v>1.1547344110854503E-3</v>
      </c>
    </row>
    <row r="92" spans="1:4" ht="16.5" customHeight="1" x14ac:dyDescent="0.3">
      <c r="A92" s="176"/>
      <c r="B92" s="86" t="s">
        <v>69</v>
      </c>
      <c r="C92" s="87">
        <v>82</v>
      </c>
      <c r="D92" s="88">
        <v>4.7344110854503463E-2</v>
      </c>
    </row>
    <row r="93" spans="1:4" ht="16.5" customHeight="1" x14ac:dyDescent="0.3">
      <c r="A93" s="176"/>
      <c r="B93" s="86" t="s">
        <v>70</v>
      </c>
      <c r="C93" s="87">
        <v>4</v>
      </c>
      <c r="D93" s="88">
        <v>2.3094688221709007E-3</v>
      </c>
    </row>
    <row r="94" spans="1:4" ht="16.5" customHeight="1" x14ac:dyDescent="0.3">
      <c r="A94" s="176"/>
      <c r="B94" s="86" t="s">
        <v>71</v>
      </c>
      <c r="C94" s="87">
        <v>13</v>
      </c>
      <c r="D94" s="88">
        <v>7.5057736720554272E-3</v>
      </c>
    </row>
    <row r="95" spans="1:4" ht="16.5" customHeight="1" x14ac:dyDescent="0.3">
      <c r="A95" s="176"/>
      <c r="B95" s="86" t="s">
        <v>72</v>
      </c>
      <c r="C95" s="87">
        <v>34</v>
      </c>
      <c r="D95" s="88">
        <v>1.9630484988452657E-2</v>
      </c>
    </row>
    <row r="96" spans="1:4" ht="16.5" customHeight="1" x14ac:dyDescent="0.3">
      <c r="A96" s="176"/>
      <c r="B96" s="86" t="s">
        <v>73</v>
      </c>
      <c r="C96" s="87">
        <v>177</v>
      </c>
      <c r="D96" s="88">
        <v>0.10219399538106236</v>
      </c>
    </row>
    <row r="97" spans="1:4" ht="16.5" customHeight="1" x14ac:dyDescent="0.3">
      <c r="A97" s="176"/>
      <c r="B97" s="86" t="s">
        <v>74</v>
      </c>
      <c r="C97" s="87">
        <v>5</v>
      </c>
      <c r="D97" s="88">
        <v>2.8868360277136255E-3</v>
      </c>
    </row>
    <row r="98" spans="1:4" ht="16.5" customHeight="1" x14ac:dyDescent="0.3">
      <c r="A98" s="176"/>
      <c r="B98" s="86" t="s">
        <v>75</v>
      </c>
      <c r="C98" s="87">
        <v>1</v>
      </c>
      <c r="D98" s="88">
        <v>5.7736720554272516E-4</v>
      </c>
    </row>
    <row r="99" spans="1:4" ht="16.5" customHeight="1" x14ac:dyDescent="0.3">
      <c r="A99" s="176"/>
      <c r="B99" s="86" t="s">
        <v>76</v>
      </c>
      <c r="C99" s="87">
        <v>2</v>
      </c>
      <c r="D99" s="88">
        <v>1.1547344110854503E-3</v>
      </c>
    </row>
    <row r="100" spans="1:4" ht="16.5" customHeight="1" x14ac:dyDescent="0.3">
      <c r="A100" s="176"/>
      <c r="B100" s="86" t="s">
        <v>77</v>
      </c>
      <c r="C100" s="87">
        <v>71</v>
      </c>
      <c r="D100" s="88">
        <v>4.0993071593533485E-2</v>
      </c>
    </row>
    <row r="101" spans="1:4" ht="16.5" customHeight="1" x14ac:dyDescent="0.3">
      <c r="A101" s="176"/>
      <c r="B101" s="86" t="s">
        <v>78</v>
      </c>
      <c r="C101" s="87">
        <v>3</v>
      </c>
      <c r="D101" s="88">
        <v>1.7321016166281756E-3</v>
      </c>
    </row>
    <row r="102" spans="1:4" ht="16.5" customHeight="1" x14ac:dyDescent="0.3">
      <c r="A102" s="176"/>
      <c r="B102" s="86" t="s">
        <v>79</v>
      </c>
      <c r="C102" s="87">
        <v>1</v>
      </c>
      <c r="D102" s="88">
        <v>5.7736720554272516E-4</v>
      </c>
    </row>
    <row r="103" spans="1:4" ht="16.5" customHeight="1" x14ac:dyDescent="0.3">
      <c r="A103" s="176"/>
      <c r="B103" s="86" t="s">
        <v>80</v>
      </c>
      <c r="C103" s="87">
        <v>1</v>
      </c>
      <c r="D103" s="88">
        <v>5.7736720554272516E-4</v>
      </c>
    </row>
    <row r="104" spans="1:4" ht="16.5" customHeight="1" x14ac:dyDescent="0.3">
      <c r="A104" s="176"/>
      <c r="B104" s="86" t="s">
        <v>81</v>
      </c>
      <c r="C104" s="87">
        <v>43</v>
      </c>
      <c r="D104" s="88">
        <v>2.4826789838337183E-2</v>
      </c>
    </row>
    <row r="105" spans="1:4" ht="16.5" customHeight="1" x14ac:dyDescent="0.3">
      <c r="A105" s="176"/>
      <c r="B105" s="86" t="s">
        <v>82</v>
      </c>
      <c r="C105" s="87">
        <v>1</v>
      </c>
      <c r="D105" s="88">
        <v>5.7736720554272516E-4</v>
      </c>
    </row>
    <row r="106" spans="1:4" ht="16.5" customHeight="1" x14ac:dyDescent="0.3">
      <c r="A106" s="176"/>
      <c r="B106" s="86" t="s">
        <v>83</v>
      </c>
      <c r="C106" s="87">
        <v>2</v>
      </c>
      <c r="D106" s="88">
        <v>1.1547344110854503E-3</v>
      </c>
    </row>
    <row r="107" spans="1:4" ht="16.5" customHeight="1" x14ac:dyDescent="0.3">
      <c r="A107" s="176"/>
      <c r="B107" s="86" t="s">
        <v>84</v>
      </c>
      <c r="C107" s="87">
        <v>1</v>
      </c>
      <c r="D107" s="88">
        <v>5.7736720554272516E-4</v>
      </c>
    </row>
    <row r="108" spans="1:4" ht="16.5" customHeight="1" x14ac:dyDescent="0.3">
      <c r="A108" s="176"/>
      <c r="B108" s="86" t="s">
        <v>85</v>
      </c>
      <c r="C108" s="87">
        <v>1</v>
      </c>
      <c r="D108" s="88">
        <v>5.7736720554272516E-4</v>
      </c>
    </row>
    <row r="109" spans="1:4" ht="16.5" customHeight="1" x14ac:dyDescent="0.3">
      <c r="A109" s="176"/>
      <c r="B109" s="86" t="s">
        <v>86</v>
      </c>
      <c r="C109" s="87">
        <v>6</v>
      </c>
      <c r="D109" s="88">
        <v>3.4642032332563512E-3</v>
      </c>
    </row>
    <row r="110" spans="1:4" ht="16.5" customHeight="1" x14ac:dyDescent="0.3">
      <c r="A110" s="176"/>
      <c r="B110" s="86" t="s">
        <v>87</v>
      </c>
      <c r="C110" s="87">
        <v>2</v>
      </c>
      <c r="D110" s="88">
        <v>1.1547344110854503E-3</v>
      </c>
    </row>
    <row r="111" spans="1:4" ht="16.5" customHeight="1" x14ac:dyDescent="0.3">
      <c r="A111" s="176"/>
      <c r="B111" s="86" t="s">
        <v>88</v>
      </c>
      <c r="C111" s="87">
        <v>1</v>
      </c>
      <c r="D111" s="88">
        <v>5.7736720554272516E-4</v>
      </c>
    </row>
    <row r="112" spans="1:4" ht="16.5" customHeight="1" x14ac:dyDescent="0.3">
      <c r="A112" s="176"/>
      <c r="B112" s="86" t="s">
        <v>89</v>
      </c>
      <c r="C112" s="87">
        <v>3</v>
      </c>
      <c r="D112" s="88">
        <v>1.7321016166281756E-3</v>
      </c>
    </row>
    <row r="113" spans="1:4" ht="16.5" customHeight="1" x14ac:dyDescent="0.3">
      <c r="A113" s="176"/>
      <c r="B113" s="86" t="s">
        <v>90</v>
      </c>
      <c r="C113" s="87">
        <v>1</v>
      </c>
      <c r="D113" s="88">
        <v>5.7736720554272516E-4</v>
      </c>
    </row>
    <row r="114" spans="1:4" ht="16.5" customHeight="1" x14ac:dyDescent="0.3">
      <c r="A114" s="176"/>
      <c r="B114" s="86" t="s">
        <v>91</v>
      </c>
      <c r="C114" s="87">
        <v>1</v>
      </c>
      <c r="D114" s="88">
        <v>5.7736720554272516E-4</v>
      </c>
    </row>
    <row r="115" spans="1:4" ht="16.5" customHeight="1" x14ac:dyDescent="0.3">
      <c r="A115" s="176"/>
      <c r="B115" s="86" t="s">
        <v>92</v>
      </c>
      <c r="C115" s="87">
        <v>4</v>
      </c>
      <c r="D115" s="88">
        <v>2.3094688221709007E-3</v>
      </c>
    </row>
    <row r="116" spans="1:4" ht="16.5" customHeight="1" x14ac:dyDescent="0.3">
      <c r="A116" s="176"/>
      <c r="B116" s="86" t="s">
        <v>93</v>
      </c>
      <c r="C116" s="87">
        <v>1</v>
      </c>
      <c r="D116" s="88">
        <v>5.7736720554272516E-4</v>
      </c>
    </row>
    <row r="117" spans="1:4" ht="16.5" customHeight="1" x14ac:dyDescent="0.3">
      <c r="A117" s="176"/>
      <c r="B117" s="86" t="s">
        <v>94</v>
      </c>
      <c r="C117" s="87">
        <v>1</v>
      </c>
      <c r="D117" s="88">
        <v>5.7736720554272516E-4</v>
      </c>
    </row>
    <row r="118" spans="1:4" ht="16.5" customHeight="1" x14ac:dyDescent="0.3">
      <c r="A118" s="176"/>
      <c r="B118" s="86" t="s">
        <v>95</v>
      </c>
      <c r="C118" s="87">
        <v>1</v>
      </c>
      <c r="D118" s="88">
        <v>5.7736720554272516E-4</v>
      </c>
    </row>
    <row r="119" spans="1:4" ht="16.5" customHeight="1" x14ac:dyDescent="0.3">
      <c r="A119" s="176"/>
      <c r="B119" s="86" t="s">
        <v>96</v>
      </c>
      <c r="C119" s="87">
        <v>2</v>
      </c>
      <c r="D119" s="88">
        <v>1.1547344110854503E-3</v>
      </c>
    </row>
    <row r="120" spans="1:4" ht="16.5" customHeight="1" x14ac:dyDescent="0.3">
      <c r="A120" s="176"/>
      <c r="B120" s="86" t="s">
        <v>97</v>
      </c>
      <c r="C120" s="87">
        <v>1</v>
      </c>
      <c r="D120" s="88">
        <v>5.7736720554272516E-4</v>
      </c>
    </row>
    <row r="121" spans="1:4" ht="16.5" customHeight="1" x14ac:dyDescent="0.3">
      <c r="A121" s="176"/>
      <c r="B121" s="86" t="s">
        <v>32</v>
      </c>
      <c r="C121" s="87">
        <v>1732</v>
      </c>
      <c r="D121" s="88">
        <v>1</v>
      </c>
    </row>
    <row r="122" spans="1:4" ht="16.5" customHeight="1" x14ac:dyDescent="0.3">
      <c r="A122" s="149"/>
      <c r="B122" s="86"/>
      <c r="C122" s="87"/>
      <c r="D122" s="88"/>
    </row>
    <row r="123" spans="1:4" ht="16.5" customHeight="1" x14ac:dyDescent="0.3">
      <c r="A123" s="175" t="s">
        <v>140</v>
      </c>
      <c r="B123" s="86" t="s">
        <v>131</v>
      </c>
      <c r="C123" s="87">
        <v>757</v>
      </c>
      <c r="D123" s="88">
        <v>0.43706697459584298</v>
      </c>
    </row>
    <row r="124" spans="1:4" ht="16.5" customHeight="1" x14ac:dyDescent="0.3">
      <c r="A124" s="175"/>
      <c r="B124" s="86" t="s">
        <v>132</v>
      </c>
      <c r="C124" s="87">
        <v>316</v>
      </c>
      <c r="D124" s="88">
        <v>0.18244803695150119</v>
      </c>
    </row>
    <row r="125" spans="1:4" ht="16.5" customHeight="1" x14ac:dyDescent="0.3">
      <c r="A125" s="175"/>
      <c r="B125" s="86" t="s">
        <v>73</v>
      </c>
      <c r="C125" s="87">
        <v>177</v>
      </c>
      <c r="D125" s="88">
        <v>0.10219399538106236</v>
      </c>
    </row>
    <row r="126" spans="1:4" ht="16.5" customHeight="1" x14ac:dyDescent="0.3">
      <c r="A126" s="175"/>
      <c r="B126" s="86" t="s">
        <v>144</v>
      </c>
      <c r="C126" s="87">
        <v>263</v>
      </c>
      <c r="D126" s="88">
        <v>0.15184757505773672</v>
      </c>
    </row>
    <row r="127" spans="1:4" ht="16.5" customHeight="1" x14ac:dyDescent="0.3">
      <c r="A127" s="175"/>
      <c r="B127" s="86" t="s">
        <v>133</v>
      </c>
      <c r="C127" s="87">
        <v>176</v>
      </c>
      <c r="D127" s="88">
        <v>0.10161662817551961</v>
      </c>
    </row>
    <row r="128" spans="1:4" ht="16.5" customHeight="1" x14ac:dyDescent="0.3">
      <c r="A128" s="175"/>
      <c r="B128" s="86" t="s">
        <v>134</v>
      </c>
      <c r="C128" s="87">
        <v>43</v>
      </c>
      <c r="D128" s="88">
        <v>2.4826789838337183E-2</v>
      </c>
    </row>
    <row r="129" spans="1:4" ht="16.5" customHeight="1" x14ac:dyDescent="0.3">
      <c r="A129" s="175"/>
      <c r="B129" s="86" t="s">
        <v>32</v>
      </c>
      <c r="C129" s="87">
        <v>1732</v>
      </c>
      <c r="D129" s="88">
        <v>1</v>
      </c>
    </row>
    <row r="130" spans="1:4" ht="16.5" customHeight="1" x14ac:dyDescent="0.3">
      <c r="A130" s="149"/>
      <c r="B130" s="86"/>
      <c r="C130" s="87"/>
      <c r="D130" s="88"/>
    </row>
    <row r="131" spans="1:4" ht="16.5" customHeight="1" x14ac:dyDescent="0.3">
      <c r="A131" s="176" t="s">
        <v>135</v>
      </c>
      <c r="B131" s="86" t="s">
        <v>145</v>
      </c>
      <c r="C131" s="87">
        <v>440</v>
      </c>
      <c r="D131" s="88">
        <v>0.2540415704387991</v>
      </c>
    </row>
    <row r="132" spans="1:4" ht="16.5" customHeight="1" x14ac:dyDescent="0.3">
      <c r="A132" s="176"/>
      <c r="B132" s="86" t="s">
        <v>136</v>
      </c>
      <c r="C132" s="87">
        <v>637</v>
      </c>
      <c r="D132" s="88">
        <v>0.36778290993071594</v>
      </c>
    </row>
    <row r="133" spans="1:4" ht="16.5" customHeight="1" x14ac:dyDescent="0.3">
      <c r="A133" s="176"/>
      <c r="B133" s="86" t="s">
        <v>34</v>
      </c>
      <c r="C133" s="87">
        <v>113</v>
      </c>
      <c r="D133" s="88">
        <v>6.5242494226327941E-2</v>
      </c>
    </row>
    <row r="134" spans="1:4" ht="16.5" customHeight="1" x14ac:dyDescent="0.3">
      <c r="A134" s="176"/>
      <c r="B134" s="86" t="s">
        <v>38</v>
      </c>
      <c r="C134" s="87">
        <v>108</v>
      </c>
      <c r="D134" s="88">
        <v>6.2355658198614321E-2</v>
      </c>
    </row>
    <row r="135" spans="1:4" ht="16.5" customHeight="1" x14ac:dyDescent="0.3">
      <c r="A135" s="176"/>
      <c r="B135" s="86" t="s">
        <v>36</v>
      </c>
      <c r="C135" s="87">
        <v>68</v>
      </c>
      <c r="D135" s="88">
        <v>3.9260969976905313E-2</v>
      </c>
    </row>
    <row r="136" spans="1:4" ht="16.5" customHeight="1" x14ac:dyDescent="0.3">
      <c r="A136" s="176"/>
      <c r="B136" s="86" t="s">
        <v>137</v>
      </c>
      <c r="C136" s="87">
        <v>366</v>
      </c>
      <c r="D136" s="88">
        <v>0.21131639722863743</v>
      </c>
    </row>
    <row r="137" spans="1:4" ht="16.5" customHeight="1" x14ac:dyDescent="0.3">
      <c r="A137" s="177"/>
      <c r="B137" s="156" t="s">
        <v>32</v>
      </c>
      <c r="C137" s="157">
        <v>1732</v>
      </c>
      <c r="D137" s="158">
        <v>1</v>
      </c>
    </row>
    <row r="138" spans="1:4" ht="16.5" customHeight="1" x14ac:dyDescent="0.3">
      <c r="A138" s="149"/>
      <c r="B138" s="86"/>
      <c r="C138" s="87"/>
      <c r="D138" s="88"/>
    </row>
    <row r="139" spans="1:4" ht="16.5" customHeight="1" x14ac:dyDescent="0.3">
      <c r="A139" s="175" t="s">
        <v>103</v>
      </c>
      <c r="B139" s="86" t="s">
        <v>104</v>
      </c>
      <c r="C139" s="87">
        <v>472</v>
      </c>
      <c r="D139" s="88">
        <v>0.30082855321861057</v>
      </c>
    </row>
    <row r="140" spans="1:4" ht="16.5" customHeight="1" x14ac:dyDescent="0.3">
      <c r="A140" s="175"/>
      <c r="B140" s="86" t="s">
        <v>105</v>
      </c>
      <c r="C140" s="87">
        <v>364</v>
      </c>
      <c r="D140" s="88">
        <v>0.23199490121096239</v>
      </c>
    </row>
    <row r="141" spans="1:4" ht="16.5" customHeight="1" x14ac:dyDescent="0.3">
      <c r="A141" s="175"/>
      <c r="B141" s="86" t="s">
        <v>106</v>
      </c>
      <c r="C141" s="87">
        <v>733</v>
      </c>
      <c r="D141" s="88">
        <v>0.46717654557042709</v>
      </c>
    </row>
    <row r="142" spans="1:4" ht="16.5" customHeight="1" x14ac:dyDescent="0.3">
      <c r="A142" s="175"/>
      <c r="B142" s="86" t="s">
        <v>32</v>
      </c>
      <c r="C142" s="87">
        <v>1569</v>
      </c>
      <c r="D142" s="88">
        <v>1</v>
      </c>
    </row>
    <row r="143" spans="1:4" ht="16.5" customHeight="1" x14ac:dyDescent="0.3">
      <c r="A143" s="149"/>
      <c r="B143" s="86"/>
      <c r="C143" s="87"/>
      <c r="D143" s="88"/>
    </row>
    <row r="144" spans="1:4" ht="16.5" customHeight="1" x14ac:dyDescent="0.3">
      <c r="A144" s="175" t="s">
        <v>107</v>
      </c>
      <c r="B144" s="86" t="s">
        <v>108</v>
      </c>
      <c r="C144" s="87">
        <v>61</v>
      </c>
      <c r="D144" s="88">
        <v>3.8878266411727216E-2</v>
      </c>
    </row>
    <row r="145" spans="1:4" ht="16.5" customHeight="1" x14ac:dyDescent="0.3">
      <c r="A145" s="175"/>
      <c r="B145" s="86" t="s">
        <v>109</v>
      </c>
      <c r="C145" s="87">
        <v>219</v>
      </c>
      <c r="D145" s="88">
        <v>0.13957934990439771</v>
      </c>
    </row>
    <row r="146" spans="1:4" ht="16.5" customHeight="1" x14ac:dyDescent="0.3">
      <c r="A146" s="175"/>
      <c r="B146" s="86" t="s">
        <v>110</v>
      </c>
      <c r="C146" s="87">
        <v>137</v>
      </c>
      <c r="D146" s="88">
        <v>8.7316762268961123E-2</v>
      </c>
    </row>
    <row r="147" spans="1:4" ht="16.5" customHeight="1" x14ac:dyDescent="0.3">
      <c r="A147" s="175"/>
      <c r="B147" s="86" t="s">
        <v>111</v>
      </c>
      <c r="C147" s="87">
        <v>75</v>
      </c>
      <c r="D147" s="88">
        <v>4.780114722753346E-2</v>
      </c>
    </row>
    <row r="148" spans="1:4" ht="16.5" customHeight="1" x14ac:dyDescent="0.3">
      <c r="A148" s="175"/>
      <c r="B148" s="86" t="s">
        <v>112</v>
      </c>
      <c r="C148" s="87">
        <v>67</v>
      </c>
      <c r="D148" s="88">
        <v>4.2702358189929894E-2</v>
      </c>
    </row>
    <row r="149" spans="1:4" ht="16.5" customHeight="1" x14ac:dyDescent="0.3">
      <c r="A149" s="175"/>
      <c r="B149" s="86" t="s">
        <v>113</v>
      </c>
      <c r="C149" s="87">
        <v>75</v>
      </c>
      <c r="D149" s="88">
        <v>4.780114722753346E-2</v>
      </c>
    </row>
    <row r="150" spans="1:4" ht="16.5" customHeight="1" x14ac:dyDescent="0.3">
      <c r="A150" s="175"/>
      <c r="B150" s="86" t="s">
        <v>114</v>
      </c>
      <c r="C150" s="87">
        <v>49</v>
      </c>
      <c r="D150" s="88">
        <v>3.1230082855321858E-2</v>
      </c>
    </row>
    <row r="151" spans="1:4" ht="16.5" customHeight="1" x14ac:dyDescent="0.3">
      <c r="A151" s="175"/>
      <c r="B151" s="86" t="s">
        <v>115</v>
      </c>
      <c r="C151" s="87">
        <v>94</v>
      </c>
      <c r="D151" s="88">
        <v>5.991077119184194E-2</v>
      </c>
    </row>
    <row r="152" spans="1:4" ht="16.5" customHeight="1" x14ac:dyDescent="0.3">
      <c r="A152" s="175"/>
      <c r="B152" s="86" t="s">
        <v>116</v>
      </c>
      <c r="C152" s="87">
        <v>200</v>
      </c>
      <c r="D152" s="88">
        <v>0.12746972594008923</v>
      </c>
    </row>
    <row r="153" spans="1:4" ht="16.5" customHeight="1" x14ac:dyDescent="0.3">
      <c r="A153" s="175"/>
      <c r="B153" s="86" t="s">
        <v>117</v>
      </c>
      <c r="C153" s="87">
        <v>67</v>
      </c>
      <c r="D153" s="88">
        <v>4.2702358189929894E-2</v>
      </c>
    </row>
    <row r="154" spans="1:4" ht="16.5" customHeight="1" x14ac:dyDescent="0.3">
      <c r="A154" s="175"/>
      <c r="B154" s="86" t="s">
        <v>118</v>
      </c>
      <c r="C154" s="87">
        <v>51</v>
      </c>
      <c r="D154" s="88">
        <v>3.2504780114722756E-2</v>
      </c>
    </row>
    <row r="155" spans="1:4" ht="16.5" customHeight="1" x14ac:dyDescent="0.3">
      <c r="A155" s="175"/>
      <c r="B155" s="86" t="s">
        <v>119</v>
      </c>
      <c r="C155" s="87">
        <v>165</v>
      </c>
      <c r="D155" s="88">
        <v>0.10516252390057361</v>
      </c>
    </row>
    <row r="156" spans="1:4" ht="16.5" customHeight="1" x14ac:dyDescent="0.3">
      <c r="A156" s="175"/>
      <c r="B156" s="86" t="s">
        <v>120</v>
      </c>
      <c r="C156" s="87">
        <v>132</v>
      </c>
      <c r="D156" s="88">
        <v>8.4130019120458893E-2</v>
      </c>
    </row>
    <row r="157" spans="1:4" ht="16.5" customHeight="1" x14ac:dyDescent="0.3">
      <c r="A157" s="175"/>
      <c r="B157" s="86" t="s">
        <v>121</v>
      </c>
      <c r="C157" s="87">
        <v>52</v>
      </c>
      <c r="D157" s="88">
        <v>3.3142128744423197E-2</v>
      </c>
    </row>
    <row r="158" spans="1:4" ht="16.5" customHeight="1" x14ac:dyDescent="0.3">
      <c r="A158" s="175"/>
      <c r="B158" s="86" t="s">
        <v>30</v>
      </c>
      <c r="C158" s="87">
        <v>125</v>
      </c>
      <c r="D158" s="88">
        <v>7.9668578712555768E-2</v>
      </c>
    </row>
    <row r="159" spans="1:4" ht="16.5" customHeight="1" x14ac:dyDescent="0.3">
      <c r="A159" s="175"/>
      <c r="B159" s="86" t="s">
        <v>32</v>
      </c>
      <c r="C159" s="87">
        <v>1569</v>
      </c>
      <c r="D159" s="88">
        <v>1</v>
      </c>
    </row>
    <row r="160" spans="1:4" ht="16.5" customHeight="1" x14ac:dyDescent="0.3">
      <c r="A160" s="159"/>
      <c r="B160" s="150"/>
      <c r="C160" s="151"/>
      <c r="D160" s="152"/>
    </row>
  </sheetData>
  <mergeCells count="15">
    <mergeCell ref="A1:B1"/>
    <mergeCell ref="A2:A33"/>
    <mergeCell ref="A56:A121"/>
    <mergeCell ref="A47:A49"/>
    <mergeCell ref="A51:A54"/>
    <mergeCell ref="A139:A142"/>
    <mergeCell ref="A144:A159"/>
    <mergeCell ref="A35:A45"/>
    <mergeCell ref="A123:A129"/>
    <mergeCell ref="A131:A137"/>
    <mergeCell ref="G14:G16"/>
    <mergeCell ref="G18:G21"/>
    <mergeCell ref="G23:G26"/>
    <mergeCell ref="G2:G12"/>
    <mergeCell ref="G28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BCF5-68AD-4EC7-B3C4-CACD62EDBCB2}">
  <dimension ref="A1:I34"/>
  <sheetViews>
    <sheetView workbookViewId="0">
      <selection activeCell="H15" sqref="H15"/>
    </sheetView>
  </sheetViews>
  <sheetFormatPr defaultRowHeight="14.4" x14ac:dyDescent="0.3"/>
  <cols>
    <col min="2" max="2" width="27.44140625" customWidth="1"/>
    <col min="7" max="7" width="12.6640625" customWidth="1"/>
  </cols>
  <sheetData>
    <row r="1" spans="1:9" x14ac:dyDescent="0.3">
      <c r="A1" s="107"/>
      <c r="B1" s="108"/>
      <c r="C1" s="109" t="s">
        <v>0</v>
      </c>
      <c r="D1" s="110" t="s">
        <v>139</v>
      </c>
      <c r="H1" s="109" t="s">
        <v>0</v>
      </c>
      <c r="I1" s="110" t="s">
        <v>139</v>
      </c>
    </row>
    <row r="2" spans="1:9" x14ac:dyDescent="0.3">
      <c r="A2" s="181" t="s">
        <v>122</v>
      </c>
      <c r="B2" s="111" t="s">
        <v>1</v>
      </c>
      <c r="C2" s="112">
        <v>497</v>
      </c>
      <c r="D2" s="113">
        <v>0.28695150115473439</v>
      </c>
      <c r="F2" s="182" t="s">
        <v>122</v>
      </c>
      <c r="G2" s="89" t="s">
        <v>99</v>
      </c>
      <c r="H2" s="89">
        <v>771</v>
      </c>
      <c r="I2" s="90">
        <v>0.44515011547344119</v>
      </c>
    </row>
    <row r="3" spans="1:9" x14ac:dyDescent="0.3">
      <c r="A3" s="181"/>
      <c r="B3" s="115" t="s">
        <v>2</v>
      </c>
      <c r="C3" s="116">
        <v>214</v>
      </c>
      <c r="D3" s="117">
        <v>0.12355658198614319</v>
      </c>
      <c r="F3" s="182"/>
      <c r="G3" s="92" t="s">
        <v>123</v>
      </c>
      <c r="H3" s="92">
        <v>156</v>
      </c>
      <c r="I3" s="93">
        <v>9.0069284064665134E-2</v>
      </c>
    </row>
    <row r="4" spans="1:9" x14ac:dyDescent="0.3">
      <c r="A4" s="181"/>
      <c r="B4" s="115" t="s">
        <v>6</v>
      </c>
      <c r="C4" s="116">
        <v>39</v>
      </c>
      <c r="D4" s="117">
        <v>2.2517321016166283E-2</v>
      </c>
      <c r="F4" s="182"/>
      <c r="G4" s="94" t="s">
        <v>151</v>
      </c>
      <c r="H4" s="94">
        <v>94</v>
      </c>
      <c r="I4" s="95">
        <v>5.3999999999999999E-2</v>
      </c>
    </row>
    <row r="5" spans="1:9" x14ac:dyDescent="0.3">
      <c r="A5" s="181"/>
      <c r="B5" s="115" t="s">
        <v>31</v>
      </c>
      <c r="C5" s="116">
        <v>21</v>
      </c>
      <c r="D5" s="117">
        <v>1.2124711316397229E-2</v>
      </c>
      <c r="F5" s="182"/>
      <c r="G5" s="96" t="s">
        <v>125</v>
      </c>
      <c r="H5" s="96">
        <v>80</v>
      </c>
      <c r="I5" s="97">
        <v>4.6189376443418008E-2</v>
      </c>
    </row>
    <row r="6" spans="1:9" x14ac:dyDescent="0.3">
      <c r="A6" s="181"/>
      <c r="B6" s="118" t="s">
        <v>3</v>
      </c>
      <c r="C6" s="119">
        <v>156</v>
      </c>
      <c r="D6" s="120">
        <v>9.0069284064665134E-2</v>
      </c>
      <c r="F6" s="182"/>
      <c r="G6" s="98" t="s">
        <v>126</v>
      </c>
      <c r="H6" s="98">
        <v>108</v>
      </c>
      <c r="I6" s="99">
        <v>6.2355658198614321E-2</v>
      </c>
    </row>
    <row r="7" spans="1:9" x14ac:dyDescent="0.3">
      <c r="A7" s="181"/>
      <c r="B7" s="121" t="s">
        <v>8</v>
      </c>
      <c r="C7" s="122">
        <v>18</v>
      </c>
      <c r="D7" s="123">
        <v>1.0392609699769052E-2</v>
      </c>
      <c r="F7" s="182"/>
      <c r="G7" s="100" t="s">
        <v>127</v>
      </c>
      <c r="H7" s="100">
        <v>99</v>
      </c>
      <c r="I7" s="101">
        <v>5.7159353348729791E-2</v>
      </c>
    </row>
    <row r="8" spans="1:9" x14ac:dyDescent="0.3">
      <c r="A8" s="181"/>
      <c r="B8" s="121" t="s">
        <v>9</v>
      </c>
      <c r="C8" s="122">
        <v>46</v>
      </c>
      <c r="D8" s="123">
        <v>2.6558891454965358E-2</v>
      </c>
      <c r="F8" s="182"/>
      <c r="G8" s="102" t="s">
        <v>102</v>
      </c>
      <c r="H8" s="102">
        <v>199</v>
      </c>
      <c r="I8" s="103">
        <v>0.11489607390300231</v>
      </c>
    </row>
    <row r="9" spans="1:9" x14ac:dyDescent="0.3">
      <c r="A9" s="181"/>
      <c r="B9" s="121" t="s">
        <v>10</v>
      </c>
      <c r="C9" s="122">
        <v>9</v>
      </c>
      <c r="D9" s="123">
        <v>5.1963048498845262E-3</v>
      </c>
      <c r="F9" s="182"/>
      <c r="G9" s="104" t="s">
        <v>128</v>
      </c>
      <c r="H9" s="104">
        <v>130</v>
      </c>
      <c r="I9" s="105">
        <v>7.5057736720554269E-2</v>
      </c>
    </row>
    <row r="10" spans="1:9" x14ac:dyDescent="0.3">
      <c r="A10" s="181"/>
      <c r="B10" s="121" t="s">
        <v>11</v>
      </c>
      <c r="C10" s="122">
        <v>7</v>
      </c>
      <c r="D10" s="123">
        <v>4.0415704387990765E-3</v>
      </c>
      <c r="F10" s="182"/>
      <c r="G10" s="85" t="s">
        <v>130</v>
      </c>
      <c r="H10" s="85">
        <v>95</v>
      </c>
      <c r="I10" s="106">
        <v>5.4849884526558895E-2</v>
      </c>
    </row>
    <row r="11" spans="1:9" x14ac:dyDescent="0.3">
      <c r="A11" s="181"/>
      <c r="B11" s="124" t="s">
        <v>12</v>
      </c>
      <c r="C11" s="125">
        <v>16</v>
      </c>
      <c r="D11" s="126">
        <v>9.2378752886836026E-3</v>
      </c>
      <c r="F11" s="182"/>
      <c r="G11" s="161" t="s">
        <v>32</v>
      </c>
      <c r="H11" s="162">
        <v>1732</v>
      </c>
      <c r="I11" s="163">
        <v>1</v>
      </c>
    </row>
    <row r="12" spans="1:9" x14ac:dyDescent="0.3">
      <c r="A12" s="181"/>
      <c r="B12" s="124" t="s">
        <v>13</v>
      </c>
      <c r="C12" s="125">
        <v>17</v>
      </c>
      <c r="D12" s="126">
        <v>9.8152424942263283E-3</v>
      </c>
      <c r="F12" s="114"/>
    </row>
    <row r="13" spans="1:9" x14ac:dyDescent="0.3">
      <c r="A13" s="181"/>
      <c r="B13" s="124" t="s">
        <v>14</v>
      </c>
      <c r="C13" s="125">
        <v>69</v>
      </c>
      <c r="D13" s="126">
        <v>3.9838337182448037E-2</v>
      </c>
    </row>
    <row r="14" spans="1:9" x14ac:dyDescent="0.3">
      <c r="A14" s="181"/>
      <c r="B14" s="124" t="s">
        <v>19</v>
      </c>
      <c r="C14" s="125">
        <v>28</v>
      </c>
      <c r="D14" s="126">
        <v>1.6166281755196306E-2</v>
      </c>
    </row>
    <row r="15" spans="1:9" x14ac:dyDescent="0.3">
      <c r="A15" s="181"/>
      <c r="B15" s="129" t="s">
        <v>15</v>
      </c>
      <c r="C15" s="130">
        <v>85</v>
      </c>
      <c r="D15" s="131">
        <v>4.9076212471131642E-2</v>
      </c>
    </row>
    <row r="16" spans="1:9" ht="22.8" x14ac:dyDescent="0.3">
      <c r="A16" s="181"/>
      <c r="B16" s="129" t="s">
        <v>16</v>
      </c>
      <c r="C16" s="130">
        <v>12</v>
      </c>
      <c r="D16" s="131">
        <v>6.9284064665127024E-3</v>
      </c>
    </row>
    <row r="17" spans="1:4" x14ac:dyDescent="0.3">
      <c r="A17" s="181"/>
      <c r="B17" s="129" t="s">
        <v>17</v>
      </c>
      <c r="C17" s="130">
        <v>6</v>
      </c>
      <c r="D17" s="131">
        <v>3.4642032332563512E-3</v>
      </c>
    </row>
    <row r="18" spans="1:4" x14ac:dyDescent="0.3">
      <c r="A18" s="181"/>
      <c r="B18" s="129" t="s">
        <v>18</v>
      </c>
      <c r="C18" s="130">
        <v>5</v>
      </c>
      <c r="D18" s="131">
        <v>2.8868360277136255E-3</v>
      </c>
    </row>
    <row r="19" spans="1:4" x14ac:dyDescent="0.3">
      <c r="A19" s="181"/>
      <c r="B19" s="132" t="s">
        <v>21</v>
      </c>
      <c r="C19" s="133">
        <v>33</v>
      </c>
      <c r="D19" s="134">
        <v>1.9053117782909929E-2</v>
      </c>
    </row>
    <row r="20" spans="1:4" x14ac:dyDescent="0.3">
      <c r="A20" s="181"/>
      <c r="B20" s="132" t="s">
        <v>5</v>
      </c>
      <c r="C20" s="133">
        <v>61</v>
      </c>
      <c r="D20" s="134">
        <v>3.5219399538106239E-2</v>
      </c>
    </row>
    <row r="21" spans="1:4" x14ac:dyDescent="0.3">
      <c r="A21" s="181"/>
      <c r="B21" s="135" t="s">
        <v>22</v>
      </c>
      <c r="C21" s="136">
        <v>15</v>
      </c>
      <c r="D21" s="137">
        <v>8.6605080831408769E-3</v>
      </c>
    </row>
    <row r="22" spans="1:4" x14ac:dyDescent="0.3">
      <c r="A22" s="181"/>
      <c r="B22" s="135" t="s">
        <v>23</v>
      </c>
      <c r="C22" s="136">
        <v>37</v>
      </c>
      <c r="D22" s="137">
        <v>2.1362586605080832E-2</v>
      </c>
    </row>
    <row r="23" spans="1:4" x14ac:dyDescent="0.3">
      <c r="A23" s="181"/>
      <c r="B23" s="135" t="s">
        <v>20</v>
      </c>
      <c r="C23" s="136">
        <v>18</v>
      </c>
      <c r="D23" s="137">
        <v>1.0392609699769052E-2</v>
      </c>
    </row>
    <row r="24" spans="1:4" x14ac:dyDescent="0.3">
      <c r="A24" s="181"/>
      <c r="B24" s="135" t="s">
        <v>25</v>
      </c>
      <c r="C24" s="136">
        <v>10</v>
      </c>
      <c r="D24" s="137">
        <v>5.773672055427251E-3</v>
      </c>
    </row>
    <row r="25" spans="1:4" x14ac:dyDescent="0.3">
      <c r="A25" s="181"/>
      <c r="B25" s="135" t="s">
        <v>26</v>
      </c>
      <c r="C25" s="136">
        <v>8</v>
      </c>
      <c r="D25" s="137">
        <v>4.6189376443418013E-3</v>
      </c>
    </row>
    <row r="26" spans="1:4" x14ac:dyDescent="0.3">
      <c r="A26" s="181"/>
      <c r="B26" s="135" t="s">
        <v>27</v>
      </c>
      <c r="C26" s="136">
        <v>7</v>
      </c>
      <c r="D26" s="137">
        <v>4.0415704387990765E-3</v>
      </c>
    </row>
    <row r="27" spans="1:4" ht="22.8" x14ac:dyDescent="0.3">
      <c r="A27" s="181"/>
      <c r="B27" s="135" t="s">
        <v>28</v>
      </c>
      <c r="C27" s="136">
        <v>4</v>
      </c>
      <c r="D27" s="137">
        <v>2.3094688221709007E-3</v>
      </c>
    </row>
    <row r="28" spans="1:4" x14ac:dyDescent="0.3">
      <c r="A28" s="181"/>
      <c r="B28" s="138" t="s">
        <v>29</v>
      </c>
      <c r="C28" s="139">
        <v>199</v>
      </c>
      <c r="D28" s="140">
        <v>0.11489607390300231</v>
      </c>
    </row>
    <row r="29" spans="1:4" x14ac:dyDescent="0.3">
      <c r="A29" s="181"/>
      <c r="B29" s="127" t="s">
        <v>7</v>
      </c>
      <c r="C29" s="128">
        <v>15</v>
      </c>
      <c r="D29" s="91">
        <v>8.6605080831408769E-3</v>
      </c>
    </row>
    <row r="30" spans="1:4" x14ac:dyDescent="0.3">
      <c r="A30" s="181"/>
      <c r="B30" s="127" t="s">
        <v>4</v>
      </c>
      <c r="C30" s="128">
        <v>14</v>
      </c>
      <c r="D30" s="91">
        <v>8.0831408775981529E-3</v>
      </c>
    </row>
    <row r="31" spans="1:4" x14ac:dyDescent="0.3">
      <c r="A31" s="181"/>
      <c r="B31" s="127" t="s">
        <v>24</v>
      </c>
      <c r="C31" s="128">
        <v>12</v>
      </c>
      <c r="D31" s="91">
        <v>6.9284064665127024E-3</v>
      </c>
    </row>
    <row r="32" spans="1:4" x14ac:dyDescent="0.3">
      <c r="A32" s="181"/>
      <c r="B32" s="127" t="s">
        <v>30</v>
      </c>
      <c r="C32" s="128">
        <v>54</v>
      </c>
      <c r="D32" s="91">
        <v>3.117782909930716E-2</v>
      </c>
    </row>
    <row r="33" spans="1:4" s="160" customFormat="1" x14ac:dyDescent="0.3">
      <c r="A33" s="181"/>
      <c r="B33" s="161" t="s">
        <v>32</v>
      </c>
      <c r="C33" s="162">
        <v>1732</v>
      </c>
      <c r="D33" s="163">
        <v>1</v>
      </c>
    </row>
    <row r="34" spans="1:4" x14ac:dyDescent="0.3">
      <c r="A34" s="141"/>
      <c r="B34" s="127"/>
      <c r="C34" s="142"/>
      <c r="D34" s="143"/>
    </row>
  </sheetData>
  <mergeCells count="2">
    <mergeCell ref="A2:A33"/>
    <mergeCell ref="F2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4FDC-EDF8-4BFA-9BA5-A057092FC244}">
  <dimension ref="A1:L71"/>
  <sheetViews>
    <sheetView workbookViewId="0">
      <selection activeCell="F15" sqref="F15"/>
    </sheetView>
  </sheetViews>
  <sheetFormatPr defaultRowHeight="14.4" x14ac:dyDescent="0.3"/>
  <cols>
    <col min="1" max="1" width="17.33203125" bestFit="1" customWidth="1"/>
    <col min="6" max="6" width="36.88671875" customWidth="1"/>
    <col min="10" max="12" width="7.6640625" style="164" customWidth="1"/>
  </cols>
  <sheetData>
    <row r="1" spans="1:12" x14ac:dyDescent="0.3">
      <c r="A1" s="23" t="s">
        <v>146</v>
      </c>
      <c r="D1" s="25"/>
      <c r="F1" s="23" t="s">
        <v>146</v>
      </c>
    </row>
    <row r="2" spans="1:12" x14ac:dyDescent="0.3">
      <c r="A2" s="26"/>
      <c r="B2" s="27" t="s">
        <v>0</v>
      </c>
      <c r="C2" s="27" t="s">
        <v>139</v>
      </c>
      <c r="D2" s="25"/>
      <c r="E2" s="28"/>
      <c r="F2" s="55"/>
      <c r="G2" s="29" t="s">
        <v>0</v>
      </c>
      <c r="H2" s="29" t="s">
        <v>139</v>
      </c>
      <c r="J2" s="164" t="s">
        <v>152</v>
      </c>
      <c r="K2" s="164" t="s">
        <v>153</v>
      </c>
      <c r="L2" s="164" t="s">
        <v>154</v>
      </c>
    </row>
    <row r="3" spans="1:12" x14ac:dyDescent="0.3">
      <c r="A3" s="58" t="s">
        <v>33</v>
      </c>
      <c r="B3" s="56">
        <v>637</v>
      </c>
      <c r="C3" s="57">
        <v>36.651323360184115</v>
      </c>
      <c r="D3" s="30"/>
      <c r="F3" s="31" t="s">
        <v>131</v>
      </c>
      <c r="G3" s="32">
        <v>757</v>
      </c>
      <c r="H3" s="33">
        <v>0.43555811277330264</v>
      </c>
      <c r="J3" s="165">
        <f>H3/(SUM(H3+H4+H5+H6))</f>
        <v>0.50000000000000011</v>
      </c>
      <c r="K3" s="166">
        <f>H4/(SUM(H3+H4+H5+H6))</f>
        <v>0.20937912813738443</v>
      </c>
      <c r="L3" s="166">
        <f>SUM(H5+H6)/SUM(H3:H6)</f>
        <v>0.29062087186261565</v>
      </c>
    </row>
    <row r="4" spans="1:12" x14ac:dyDescent="0.3">
      <c r="A4" s="58" t="s">
        <v>34</v>
      </c>
      <c r="B4" s="56">
        <v>113</v>
      </c>
      <c r="C4" s="57">
        <v>6.5017261219792868</v>
      </c>
      <c r="D4" s="30"/>
      <c r="F4" s="37" t="s">
        <v>132</v>
      </c>
      <c r="G4" s="38">
        <v>317</v>
      </c>
      <c r="H4" s="39">
        <v>0.18239355581127734</v>
      </c>
      <c r="K4" s="166"/>
    </row>
    <row r="5" spans="1:12" x14ac:dyDescent="0.3">
      <c r="A5" s="58" t="s">
        <v>35</v>
      </c>
      <c r="B5" s="56">
        <v>7</v>
      </c>
      <c r="C5" s="57">
        <v>0.40276179516685851</v>
      </c>
      <c r="D5" s="30"/>
      <c r="F5" s="43" t="s">
        <v>73</v>
      </c>
      <c r="G5" s="44">
        <v>177</v>
      </c>
      <c r="H5" s="45">
        <v>0.10184119677790564</v>
      </c>
    </row>
    <row r="6" spans="1:12" x14ac:dyDescent="0.3">
      <c r="A6" s="40" t="s">
        <v>36</v>
      </c>
      <c r="B6" s="41">
        <v>68</v>
      </c>
      <c r="C6" s="42">
        <v>3.9125431530494823</v>
      </c>
      <c r="D6" s="30"/>
      <c r="F6" s="46" t="s">
        <v>142</v>
      </c>
      <c r="G6" s="47">
        <v>263</v>
      </c>
      <c r="H6" s="48">
        <v>0.15132336018411968</v>
      </c>
    </row>
    <row r="7" spans="1:12" x14ac:dyDescent="0.3">
      <c r="A7" s="40" t="s">
        <v>38</v>
      </c>
      <c r="B7" s="41">
        <v>108</v>
      </c>
      <c r="C7" s="42">
        <v>6.2140391254315306</v>
      </c>
      <c r="D7" s="30"/>
      <c r="F7" s="49" t="s">
        <v>148</v>
      </c>
      <c r="G7" s="50">
        <v>176</v>
      </c>
      <c r="H7" s="51">
        <v>0.10126582278481014</v>
      </c>
    </row>
    <row r="8" spans="1:12" x14ac:dyDescent="0.3">
      <c r="A8" s="34" t="s">
        <v>37</v>
      </c>
      <c r="B8" s="35">
        <v>8</v>
      </c>
      <c r="C8" s="36">
        <v>0.46029919447640966</v>
      </c>
      <c r="D8" s="30"/>
      <c r="F8" s="71" t="s">
        <v>134</v>
      </c>
      <c r="G8" s="72">
        <v>48</v>
      </c>
      <c r="H8" s="73">
        <v>2.7617951668584578E-2</v>
      </c>
    </row>
    <row r="9" spans="1:12" x14ac:dyDescent="0.3">
      <c r="A9" s="34" t="s">
        <v>39</v>
      </c>
      <c r="B9" s="35">
        <v>1</v>
      </c>
      <c r="C9" s="36">
        <v>5.7537399309551207E-2</v>
      </c>
      <c r="D9" s="30"/>
      <c r="F9" s="52" t="s">
        <v>32</v>
      </c>
      <c r="G9" s="53">
        <v>1738</v>
      </c>
      <c r="H9" s="54">
        <v>1</v>
      </c>
    </row>
    <row r="10" spans="1:12" x14ac:dyDescent="0.3">
      <c r="A10" s="34" t="s">
        <v>40</v>
      </c>
      <c r="B10" s="35">
        <v>1</v>
      </c>
      <c r="C10" s="36">
        <v>5.7537399309551207E-2</v>
      </c>
      <c r="D10" s="30"/>
      <c r="F10" s="78"/>
      <c r="G10" s="79"/>
      <c r="H10" s="80"/>
    </row>
    <row r="11" spans="1:12" x14ac:dyDescent="0.3">
      <c r="A11" s="34" t="s">
        <v>41</v>
      </c>
      <c r="B11" s="35">
        <v>2</v>
      </c>
      <c r="C11" s="36">
        <v>0.11507479861910241</v>
      </c>
      <c r="D11" s="30"/>
      <c r="F11" s="74"/>
      <c r="G11" s="75"/>
      <c r="H11" s="76"/>
    </row>
    <row r="12" spans="1:12" x14ac:dyDescent="0.3">
      <c r="A12" s="34" t="s">
        <v>42</v>
      </c>
      <c r="B12" s="35">
        <v>2</v>
      </c>
      <c r="C12" s="36">
        <v>0.11507479861910241</v>
      </c>
      <c r="D12" s="30"/>
    </row>
    <row r="13" spans="1:12" ht="27.6" x14ac:dyDescent="0.3">
      <c r="A13" s="34" t="s">
        <v>43</v>
      </c>
      <c r="B13" s="35">
        <v>1</v>
      </c>
      <c r="C13" s="36">
        <v>5.7537399309551207E-2</v>
      </c>
      <c r="D13" s="30"/>
    </row>
    <row r="14" spans="1:12" x14ac:dyDescent="0.3">
      <c r="A14" s="34" t="s">
        <v>147</v>
      </c>
      <c r="B14" s="35">
        <v>1</v>
      </c>
      <c r="C14" s="36">
        <v>5.7537399309551207E-2</v>
      </c>
      <c r="D14" s="30"/>
    </row>
    <row r="15" spans="1:12" x14ac:dyDescent="0.3">
      <c r="A15" s="34" t="s">
        <v>44</v>
      </c>
      <c r="B15" s="35">
        <v>2</v>
      </c>
      <c r="C15" s="36">
        <v>0.11507479861910241</v>
      </c>
      <c r="D15" s="30"/>
    </row>
    <row r="16" spans="1:12" x14ac:dyDescent="0.3">
      <c r="A16" s="68" t="s">
        <v>45</v>
      </c>
      <c r="B16" s="69">
        <v>74</v>
      </c>
      <c r="C16" s="70">
        <v>4.2577675489067897</v>
      </c>
      <c r="D16" s="30"/>
    </row>
    <row r="17" spans="1:9" x14ac:dyDescent="0.3">
      <c r="A17" s="68" t="s">
        <v>46</v>
      </c>
      <c r="B17" s="69">
        <v>1</v>
      </c>
      <c r="C17" s="70">
        <v>5.7537399309551207E-2</v>
      </c>
      <c r="D17" s="30"/>
      <c r="F17" s="81"/>
      <c r="G17" s="81"/>
      <c r="H17" s="81"/>
      <c r="I17" s="81"/>
    </row>
    <row r="18" spans="1:9" x14ac:dyDescent="0.3">
      <c r="A18" s="68" t="s">
        <v>47</v>
      </c>
      <c r="B18" s="69">
        <v>10</v>
      </c>
      <c r="C18" s="70">
        <v>0.57537399309551207</v>
      </c>
      <c r="D18" s="30"/>
      <c r="F18" s="81"/>
      <c r="G18" s="81"/>
      <c r="H18" s="81"/>
      <c r="I18" s="81"/>
    </row>
    <row r="19" spans="1:9" x14ac:dyDescent="0.3">
      <c r="A19" s="68" t="s">
        <v>48</v>
      </c>
      <c r="B19" s="69">
        <v>5</v>
      </c>
      <c r="C19" s="70">
        <v>0.28768699654775604</v>
      </c>
      <c r="D19" s="30"/>
      <c r="F19" s="81"/>
      <c r="G19" s="81"/>
      <c r="H19" s="81"/>
      <c r="I19" s="81"/>
    </row>
    <row r="20" spans="1:9" x14ac:dyDescent="0.3">
      <c r="A20" s="68" t="s">
        <v>49</v>
      </c>
      <c r="B20" s="69">
        <v>1</v>
      </c>
      <c r="C20" s="70">
        <v>5.7537399309551207E-2</v>
      </c>
      <c r="D20" s="30"/>
      <c r="F20" s="78"/>
      <c r="G20" s="79"/>
      <c r="H20" s="80"/>
      <c r="I20" s="81"/>
    </row>
    <row r="21" spans="1:9" x14ac:dyDescent="0.3">
      <c r="A21" s="68" t="s">
        <v>50</v>
      </c>
      <c r="B21" s="69">
        <v>47</v>
      </c>
      <c r="C21" s="70">
        <v>2.7042577675489068</v>
      </c>
      <c r="D21" s="30"/>
      <c r="F21" s="78"/>
      <c r="G21" s="77"/>
      <c r="H21" s="77"/>
      <c r="I21" s="81"/>
    </row>
    <row r="22" spans="1:9" x14ac:dyDescent="0.3">
      <c r="A22" s="68" t="s">
        <v>51</v>
      </c>
      <c r="B22" s="69">
        <v>75</v>
      </c>
      <c r="C22" s="70">
        <v>4.3153049482163404</v>
      </c>
      <c r="D22" s="30"/>
      <c r="F22" s="78"/>
      <c r="G22" s="79"/>
      <c r="H22" s="80"/>
      <c r="I22" s="81"/>
    </row>
    <row r="23" spans="1:9" x14ac:dyDescent="0.3">
      <c r="A23" s="68" t="s">
        <v>52</v>
      </c>
      <c r="B23" s="69">
        <v>2</v>
      </c>
      <c r="C23" s="70">
        <v>0.11507479861910241</v>
      </c>
      <c r="D23" s="30"/>
      <c r="F23" s="78"/>
      <c r="G23" s="79"/>
      <c r="H23" s="80"/>
      <c r="I23" s="81"/>
    </row>
    <row r="24" spans="1:9" x14ac:dyDescent="0.3">
      <c r="A24" s="68" t="s">
        <v>53</v>
      </c>
      <c r="B24" s="69">
        <v>1</v>
      </c>
      <c r="C24" s="70">
        <v>5.7537399309551207E-2</v>
      </c>
      <c r="D24" s="30"/>
      <c r="F24" s="78"/>
      <c r="G24" s="79"/>
      <c r="H24" s="80"/>
      <c r="I24" s="81"/>
    </row>
    <row r="25" spans="1:9" x14ac:dyDescent="0.3">
      <c r="A25" s="68" t="s">
        <v>54</v>
      </c>
      <c r="B25" s="69">
        <v>3</v>
      </c>
      <c r="C25" s="70">
        <v>0.17261219792865362</v>
      </c>
      <c r="D25" s="30"/>
      <c r="F25" s="82"/>
      <c r="G25" s="83"/>
      <c r="H25" s="84"/>
      <c r="I25" s="81"/>
    </row>
    <row r="26" spans="1:9" x14ac:dyDescent="0.3">
      <c r="A26" s="68" t="s">
        <v>55</v>
      </c>
      <c r="B26" s="69">
        <v>47</v>
      </c>
      <c r="C26" s="70">
        <v>2.7042577675489068</v>
      </c>
      <c r="D26" s="30"/>
      <c r="F26" s="78"/>
      <c r="G26" s="79"/>
      <c r="H26" s="80"/>
      <c r="I26" s="81"/>
    </row>
    <row r="27" spans="1:9" x14ac:dyDescent="0.3">
      <c r="A27" s="68" t="s">
        <v>56</v>
      </c>
      <c r="B27" s="69">
        <v>2</v>
      </c>
      <c r="C27" s="70">
        <v>0.11507479861910241</v>
      </c>
      <c r="D27" s="30"/>
      <c r="F27" s="78"/>
      <c r="G27" s="79"/>
      <c r="H27" s="80"/>
      <c r="I27" s="81"/>
    </row>
    <row r="28" spans="1:9" x14ac:dyDescent="0.3">
      <c r="A28" s="68" t="s">
        <v>57</v>
      </c>
      <c r="B28" s="69">
        <v>1</v>
      </c>
      <c r="C28" s="70">
        <v>5.7537399309551207E-2</v>
      </c>
      <c r="D28" s="30"/>
      <c r="F28" s="78"/>
      <c r="G28" s="79"/>
      <c r="H28" s="80"/>
      <c r="I28" s="81"/>
    </row>
    <row r="29" spans="1:9" x14ac:dyDescent="0.3">
      <c r="A29" s="68" t="s">
        <v>58</v>
      </c>
      <c r="B29" s="69">
        <v>6</v>
      </c>
      <c r="C29" s="70">
        <v>0.34522439585730724</v>
      </c>
      <c r="D29" s="30"/>
      <c r="F29" s="81"/>
      <c r="G29" s="81"/>
      <c r="H29" s="81"/>
      <c r="I29" s="81"/>
    </row>
    <row r="30" spans="1:9" x14ac:dyDescent="0.3">
      <c r="A30" s="68" t="s">
        <v>59</v>
      </c>
      <c r="B30" s="69">
        <v>3</v>
      </c>
      <c r="C30" s="70">
        <v>0.17261219792865362</v>
      </c>
      <c r="D30" s="30"/>
      <c r="F30" s="81"/>
      <c r="G30" s="81"/>
      <c r="H30" s="81"/>
      <c r="I30" s="81"/>
    </row>
    <row r="31" spans="1:9" x14ac:dyDescent="0.3">
      <c r="A31" s="68" t="s">
        <v>60</v>
      </c>
      <c r="B31" s="69">
        <v>1</v>
      </c>
      <c r="C31" s="70">
        <v>5.7537399309551207E-2</v>
      </c>
      <c r="D31" s="30"/>
      <c r="F31" s="81"/>
      <c r="G31" s="81"/>
      <c r="H31" s="81"/>
      <c r="I31" s="81"/>
    </row>
    <row r="32" spans="1:9" x14ac:dyDescent="0.3">
      <c r="A32" s="68" t="s">
        <v>61</v>
      </c>
      <c r="B32" s="69">
        <v>3</v>
      </c>
      <c r="C32" s="70">
        <v>0.17261219792865362</v>
      </c>
      <c r="D32" s="30"/>
    </row>
    <row r="33" spans="1:4" x14ac:dyDescent="0.3">
      <c r="A33" s="68" t="s">
        <v>62</v>
      </c>
      <c r="B33" s="69">
        <v>7</v>
      </c>
      <c r="C33" s="70">
        <v>0.40276179516685851</v>
      </c>
      <c r="D33" s="30"/>
    </row>
    <row r="34" spans="1:4" x14ac:dyDescent="0.3">
      <c r="A34" s="68" t="s">
        <v>63</v>
      </c>
      <c r="B34" s="69">
        <v>5</v>
      </c>
      <c r="C34" s="70">
        <v>0.28768699654775604</v>
      </c>
      <c r="D34" s="30"/>
    </row>
    <row r="35" spans="1:4" x14ac:dyDescent="0.3">
      <c r="A35" s="68" t="s">
        <v>64</v>
      </c>
      <c r="B35" s="69">
        <v>17</v>
      </c>
      <c r="C35" s="70">
        <v>0.97813578826237058</v>
      </c>
      <c r="D35" s="30"/>
    </row>
    <row r="36" spans="1:4" x14ac:dyDescent="0.3">
      <c r="A36" s="68" t="s">
        <v>65</v>
      </c>
      <c r="B36" s="69">
        <v>1</v>
      </c>
      <c r="C36" s="70">
        <v>5.7537399309551207E-2</v>
      </c>
      <c r="D36" s="30"/>
    </row>
    <row r="37" spans="1:4" x14ac:dyDescent="0.3">
      <c r="A37" s="68" t="s">
        <v>149</v>
      </c>
      <c r="B37" s="69">
        <v>1</v>
      </c>
      <c r="C37" s="70">
        <v>5.7537399309551207E-2</v>
      </c>
      <c r="D37" s="30"/>
    </row>
    <row r="38" spans="1:4" x14ac:dyDescent="0.3">
      <c r="A38" s="68" t="s">
        <v>66</v>
      </c>
      <c r="B38" s="69">
        <v>1</v>
      </c>
      <c r="C38" s="70">
        <v>5.7537399309551207E-2</v>
      </c>
      <c r="D38" s="30"/>
    </row>
    <row r="39" spans="1:4" x14ac:dyDescent="0.3">
      <c r="A39" s="68" t="s">
        <v>67</v>
      </c>
      <c r="B39" s="69">
        <v>1</v>
      </c>
      <c r="C39" s="70">
        <v>5.7537399309551207E-2</v>
      </c>
      <c r="D39" s="30"/>
    </row>
    <row r="40" spans="1:4" x14ac:dyDescent="0.3">
      <c r="A40" s="68" t="s">
        <v>68</v>
      </c>
      <c r="B40" s="69">
        <v>2</v>
      </c>
      <c r="C40" s="70">
        <v>0.11507479861910241</v>
      </c>
      <c r="D40" s="30"/>
    </row>
    <row r="41" spans="1:4" x14ac:dyDescent="0.3">
      <c r="A41" s="62" t="s">
        <v>73</v>
      </c>
      <c r="B41" s="63">
        <v>177</v>
      </c>
      <c r="C41" s="64">
        <v>10.184119677790564</v>
      </c>
      <c r="D41" s="30"/>
    </row>
    <row r="42" spans="1:4" x14ac:dyDescent="0.3">
      <c r="A42" s="61" t="s">
        <v>69</v>
      </c>
      <c r="B42" s="59">
        <v>82</v>
      </c>
      <c r="C42" s="60">
        <v>4.7180667433831998</v>
      </c>
      <c r="D42" s="30"/>
    </row>
    <row r="43" spans="1:4" x14ac:dyDescent="0.3">
      <c r="A43" s="61" t="s">
        <v>70</v>
      </c>
      <c r="B43" s="59">
        <v>4</v>
      </c>
      <c r="C43" s="60">
        <v>0.23014959723820483</v>
      </c>
      <c r="D43" s="30"/>
    </row>
    <row r="44" spans="1:4" x14ac:dyDescent="0.3">
      <c r="A44" s="61" t="s">
        <v>71</v>
      </c>
      <c r="B44" s="59">
        <v>13</v>
      </c>
      <c r="C44" s="60">
        <v>0.74798619102416575</v>
      </c>
      <c r="D44" s="30"/>
    </row>
    <row r="45" spans="1:4" x14ac:dyDescent="0.3">
      <c r="A45" s="61" t="s">
        <v>72</v>
      </c>
      <c r="B45" s="59">
        <v>34</v>
      </c>
      <c r="C45" s="60">
        <v>1.9562715765247412</v>
      </c>
      <c r="D45" s="30"/>
    </row>
    <row r="46" spans="1:4" x14ac:dyDescent="0.3">
      <c r="A46" s="61" t="s">
        <v>74</v>
      </c>
      <c r="B46" s="59">
        <v>5</v>
      </c>
      <c r="C46" s="60">
        <v>0.28768699654775604</v>
      </c>
      <c r="D46" s="30"/>
    </row>
    <row r="47" spans="1:4" x14ac:dyDescent="0.3">
      <c r="A47" s="61" t="s">
        <v>75</v>
      </c>
      <c r="B47" s="59">
        <v>1</v>
      </c>
      <c r="C47" s="60">
        <v>5.7537399309551207E-2</v>
      </c>
      <c r="D47" s="30"/>
    </row>
    <row r="48" spans="1:4" x14ac:dyDescent="0.3">
      <c r="A48" s="61" t="s">
        <v>76</v>
      </c>
      <c r="B48" s="59">
        <v>2</v>
      </c>
      <c r="C48" s="60">
        <v>0.11507479861910241</v>
      </c>
      <c r="D48" s="30"/>
    </row>
    <row r="49" spans="1:4" x14ac:dyDescent="0.3">
      <c r="A49" s="61" t="s">
        <v>77</v>
      </c>
      <c r="B49" s="59">
        <v>71</v>
      </c>
      <c r="C49" s="60">
        <v>4.0851553509781358</v>
      </c>
      <c r="D49" s="30"/>
    </row>
    <row r="50" spans="1:4" x14ac:dyDescent="0.3">
      <c r="A50" s="61" t="s">
        <v>78</v>
      </c>
      <c r="B50" s="59">
        <v>3</v>
      </c>
      <c r="C50" s="60">
        <v>0.17261219792865362</v>
      </c>
      <c r="D50" s="30"/>
    </row>
    <row r="51" spans="1:4" x14ac:dyDescent="0.3">
      <c r="A51" s="61" t="s">
        <v>79</v>
      </c>
      <c r="B51" s="59">
        <v>1</v>
      </c>
      <c r="C51" s="60">
        <v>5.7537399309551207E-2</v>
      </c>
      <c r="D51" s="30"/>
    </row>
    <row r="52" spans="1:4" x14ac:dyDescent="0.3">
      <c r="A52" s="61" t="s">
        <v>80</v>
      </c>
      <c r="B52" s="59">
        <v>1</v>
      </c>
      <c r="C52" s="60">
        <v>5.7537399309551207E-2</v>
      </c>
      <c r="D52" s="30"/>
    </row>
    <row r="53" spans="1:4" x14ac:dyDescent="0.3">
      <c r="A53" s="61" t="s">
        <v>81</v>
      </c>
      <c r="B53" s="59">
        <v>43</v>
      </c>
      <c r="C53" s="60">
        <v>2.4741081703107017</v>
      </c>
      <c r="D53" s="30"/>
    </row>
    <row r="54" spans="1:4" x14ac:dyDescent="0.3">
      <c r="A54" s="61" t="s">
        <v>82</v>
      </c>
      <c r="B54" s="59">
        <v>1</v>
      </c>
      <c r="C54" s="60">
        <v>5.7537399309551207E-2</v>
      </c>
      <c r="D54" s="30"/>
    </row>
    <row r="55" spans="1:4" x14ac:dyDescent="0.3">
      <c r="A55" s="61" t="s">
        <v>83</v>
      </c>
      <c r="B55" s="59">
        <v>2</v>
      </c>
      <c r="C55" s="60">
        <v>0.11507479861910241</v>
      </c>
      <c r="D55" s="30"/>
    </row>
    <row r="56" spans="1:4" x14ac:dyDescent="0.3">
      <c r="A56" s="34" t="s">
        <v>84</v>
      </c>
      <c r="B56" s="35">
        <v>1</v>
      </c>
      <c r="C56" s="36">
        <v>5.7537399309551207E-2</v>
      </c>
      <c r="D56" s="30"/>
    </row>
    <row r="57" spans="1:4" x14ac:dyDescent="0.3">
      <c r="A57" s="34" t="s">
        <v>85</v>
      </c>
      <c r="B57" s="35">
        <v>1</v>
      </c>
      <c r="C57" s="36">
        <v>5.7537399309551207E-2</v>
      </c>
      <c r="D57" s="30"/>
    </row>
    <row r="58" spans="1:4" x14ac:dyDescent="0.3">
      <c r="A58" s="34" t="s">
        <v>86</v>
      </c>
      <c r="B58" s="35">
        <v>6</v>
      </c>
      <c r="C58" s="36">
        <v>0.34522439585730724</v>
      </c>
      <c r="D58" s="30"/>
    </row>
    <row r="59" spans="1:4" x14ac:dyDescent="0.3">
      <c r="A59" s="34" t="s">
        <v>87</v>
      </c>
      <c r="B59" s="35">
        <v>2</v>
      </c>
      <c r="C59" s="36">
        <v>0.11507479861910241</v>
      </c>
      <c r="D59" s="30"/>
    </row>
    <row r="60" spans="1:4" x14ac:dyDescent="0.3">
      <c r="A60" s="34" t="s">
        <v>88</v>
      </c>
      <c r="B60" s="35">
        <v>1</v>
      </c>
      <c r="C60" s="36">
        <v>5.7537399309551207E-2</v>
      </c>
      <c r="D60" s="30"/>
    </row>
    <row r="61" spans="1:4" x14ac:dyDescent="0.3">
      <c r="A61" s="34" t="s">
        <v>89</v>
      </c>
      <c r="B61" s="35">
        <v>3</v>
      </c>
      <c r="C61" s="36">
        <v>0.17261219792865362</v>
      </c>
      <c r="D61" s="30"/>
    </row>
    <row r="62" spans="1:4" x14ac:dyDescent="0.3">
      <c r="A62" s="34" t="s">
        <v>90</v>
      </c>
      <c r="B62" s="35">
        <v>1</v>
      </c>
      <c r="C62" s="36">
        <v>5.7537399309551207E-2</v>
      </c>
      <c r="D62" s="30"/>
    </row>
    <row r="63" spans="1:4" x14ac:dyDescent="0.3">
      <c r="A63" s="34" t="s">
        <v>91</v>
      </c>
      <c r="B63" s="35">
        <v>1</v>
      </c>
      <c r="C63" s="36">
        <v>5.7537399309551207E-2</v>
      </c>
      <c r="D63" s="30"/>
    </row>
    <row r="64" spans="1:4" ht="27.6" x14ac:dyDescent="0.3">
      <c r="A64" s="34" t="s">
        <v>92</v>
      </c>
      <c r="B64" s="35">
        <v>4</v>
      </c>
      <c r="C64" s="36">
        <v>0.23014959723820483</v>
      </c>
      <c r="D64" s="30"/>
    </row>
    <row r="65" spans="1:4" x14ac:dyDescent="0.3">
      <c r="A65" s="34" t="s">
        <v>93</v>
      </c>
      <c r="B65" s="35">
        <v>1</v>
      </c>
      <c r="C65" s="36">
        <v>5.7537399309551207E-2</v>
      </c>
      <c r="D65" s="30"/>
    </row>
    <row r="66" spans="1:4" x14ac:dyDescent="0.3">
      <c r="A66" s="34" t="s">
        <v>94</v>
      </c>
      <c r="B66" s="35">
        <v>1</v>
      </c>
      <c r="C66" s="36">
        <v>5.7537399309551207E-2</v>
      </c>
      <c r="D66" s="30"/>
    </row>
    <row r="67" spans="1:4" x14ac:dyDescent="0.3">
      <c r="A67" s="34" t="s">
        <v>95</v>
      </c>
      <c r="B67" s="35">
        <v>1</v>
      </c>
      <c r="C67" s="36">
        <v>5.7537399309551207E-2</v>
      </c>
      <c r="D67" s="30"/>
    </row>
    <row r="68" spans="1:4" x14ac:dyDescent="0.3">
      <c r="A68" s="34" t="s">
        <v>96</v>
      </c>
      <c r="B68" s="35">
        <v>2</v>
      </c>
      <c r="C68" s="36">
        <v>0.11507479861910241</v>
      </c>
      <c r="D68" s="30"/>
    </row>
    <row r="69" spans="1:4" ht="27.6" x14ac:dyDescent="0.3">
      <c r="A69" s="34" t="s">
        <v>97</v>
      </c>
      <c r="B69" s="35">
        <v>1</v>
      </c>
      <c r="C69" s="36">
        <v>5.7537399309551207E-2</v>
      </c>
      <c r="D69" s="30"/>
    </row>
    <row r="70" spans="1:4" x14ac:dyDescent="0.3">
      <c r="A70" s="34" t="s">
        <v>150</v>
      </c>
      <c r="B70" s="35">
        <v>4</v>
      </c>
      <c r="C70" s="36">
        <v>0.23014959723820483</v>
      </c>
      <c r="D70" s="30"/>
    </row>
    <row r="71" spans="1:4" x14ac:dyDescent="0.3">
      <c r="A71" s="65" t="s">
        <v>32</v>
      </c>
      <c r="B71" s="66">
        <v>1738</v>
      </c>
      <c r="C71" s="67">
        <v>100</v>
      </c>
      <c r="D7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Titles</vt:lpstr>
      <vt:lpstr>Countries and regions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Jeremy Greenberg</cp:lastModifiedBy>
  <dcterms:created xsi:type="dcterms:W3CDTF">2011-08-01T14:22:18Z</dcterms:created>
  <dcterms:modified xsi:type="dcterms:W3CDTF">2026-01-29T22:07:45Z</dcterms:modified>
</cp:coreProperties>
</file>